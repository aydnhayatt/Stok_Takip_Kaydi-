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BuÇalışmaKitabı" hidePivotFieldList="1" defaultThemeVersion="124226"/>
  <bookViews>
    <workbookView xWindow="0" yWindow="0" windowWidth="23040" windowHeight="9396" activeTab="2"/>
  </bookViews>
  <sheets>
    <sheet name="Genel_Durum" sheetId="1" r:id="rId1"/>
    <sheet name="Ürünler" sheetId="2" r:id="rId2"/>
    <sheet name="Satışlar" sheetId="3" r:id="rId3"/>
    <sheet name="Personeller" sheetId="4" r:id="rId4"/>
    <sheet name="Tablolar" sheetId="6" r:id="rId5"/>
  </sheets>
  <definedNames>
    <definedName name="urunler">Ürünler!$K$6:$K$2825</definedName>
  </definedNames>
  <calcPr calcId="152511"/>
  <pivotCaches>
    <pivotCache cacheId="0" r:id="rId6"/>
    <pivotCache cacheId="1" r:id="rId7"/>
  </pivotCaches>
</workbook>
</file>

<file path=xl/calcChain.xml><?xml version="1.0" encoding="utf-8"?>
<calcChain xmlns="http://schemas.openxmlformats.org/spreadsheetml/2006/main">
  <c r="Q26" i="3" l="1"/>
  <c r="Q25" i="3" l="1"/>
  <c r="Q24" i="3" l="1"/>
  <c r="Q23" i="3" l="1"/>
  <c r="Q22" i="3" l="1"/>
  <c r="AB4" i="6" l="1"/>
  <c r="AB5" i="6"/>
  <c r="AC5" i="6"/>
  <c r="AB6" i="6"/>
  <c r="AC6" i="6"/>
  <c r="AC4" i="6"/>
  <c r="Q21" i="3" l="1"/>
  <c r="E4" i="6"/>
  <c r="E3" i="6"/>
  <c r="Q20" i="3" l="1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Q19" i="3" l="1"/>
  <c r="B41" i="6" l="1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M20" i="2" s="1"/>
  <c r="B56" i="6"/>
  <c r="M21" i="2" s="1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M19" i="2" l="1"/>
  <c r="Q6" i="3"/>
  <c r="Q18" i="3" l="1"/>
  <c r="Q17" i="3" l="1"/>
  <c r="Q16" i="3"/>
  <c r="Q15" i="3"/>
  <c r="Q14" i="3"/>
  <c r="Q13" i="3"/>
  <c r="Q12" i="3"/>
  <c r="Q11" i="3"/>
  <c r="Q10" i="3"/>
  <c r="Q9" i="3"/>
  <c r="Q8" i="3"/>
  <c r="Q7" i="3"/>
  <c r="M15" i="2" l="1"/>
  <c r="M12" i="2"/>
  <c r="M11" i="2"/>
  <c r="M8" i="2"/>
  <c r="M7" i="2"/>
  <c r="M17" i="2"/>
  <c r="M16" i="2"/>
  <c r="M14" i="2"/>
  <c r="M10" i="2"/>
  <c r="M13" i="2"/>
  <c r="M6" i="2"/>
  <c r="M9" i="2"/>
  <c r="M18" i="2"/>
</calcChain>
</file>

<file path=xl/sharedStrings.xml><?xml version="1.0" encoding="utf-8"?>
<sst xmlns="http://schemas.openxmlformats.org/spreadsheetml/2006/main" count="288" uniqueCount="87">
  <si>
    <t>Marka</t>
  </si>
  <si>
    <t>Model</t>
  </si>
  <si>
    <t>Fiyat</t>
  </si>
  <si>
    <t>Apple</t>
  </si>
  <si>
    <t>iphone 11</t>
  </si>
  <si>
    <t>iphone 13</t>
  </si>
  <si>
    <t>iphone 13 pro</t>
  </si>
  <si>
    <t>Ad Soyad</t>
  </si>
  <si>
    <t>Bölge</t>
  </si>
  <si>
    <t>Musa Topak</t>
  </si>
  <si>
    <t>Marmara</t>
  </si>
  <si>
    <t>Samet Gökbuğa</t>
  </si>
  <si>
    <t>Uğur Kandemir</t>
  </si>
  <si>
    <t>Ege</t>
  </si>
  <si>
    <t>Rabia Bilgi</t>
  </si>
  <si>
    <t>Tarih</t>
  </si>
  <si>
    <t>Satış Personeli</t>
  </si>
  <si>
    <t>Adet</t>
  </si>
  <si>
    <t>Müşteri Konumu</t>
  </si>
  <si>
    <t>Toplam Tutar</t>
  </si>
  <si>
    <t>İstanbul</t>
  </si>
  <si>
    <t>İphone 11</t>
  </si>
  <si>
    <t>iphone 12</t>
  </si>
  <si>
    <t>İzmir</t>
  </si>
  <si>
    <t>Samsung</t>
  </si>
  <si>
    <t>Galaxy Note 20</t>
  </si>
  <si>
    <t>Galaxy S21</t>
  </si>
  <si>
    <t>Galaxy S21+</t>
  </si>
  <si>
    <t>13.01.2022</t>
  </si>
  <si>
    <t>Cemre Karakurt</t>
  </si>
  <si>
    <t>Aydın</t>
  </si>
  <si>
    <t>Xiaomi</t>
  </si>
  <si>
    <t>Redmi Note 10 Lite</t>
  </si>
  <si>
    <t>Elif Yılmaz</t>
  </si>
  <si>
    <t>Akdeniz</t>
  </si>
  <si>
    <t>Bursa</t>
  </si>
  <si>
    <t>Muğla</t>
  </si>
  <si>
    <t>Redmi Note 10 Pro</t>
  </si>
  <si>
    <t>25.01.2022</t>
  </si>
  <si>
    <t>Antalya</t>
  </si>
  <si>
    <t>22.04.2022</t>
  </si>
  <si>
    <t>Mersin</t>
  </si>
  <si>
    <t>Güncel Stok</t>
  </si>
  <si>
    <t>iphone 14</t>
  </si>
  <si>
    <t xml:space="preserve">Marka </t>
  </si>
  <si>
    <t>Girilen Adet</t>
  </si>
  <si>
    <t>Redmi Note 10 Lİte</t>
  </si>
  <si>
    <t>Oppo</t>
  </si>
  <si>
    <t>Rino 2</t>
  </si>
  <si>
    <t>29.12.2022</t>
  </si>
  <si>
    <t>26.03.2022</t>
  </si>
  <si>
    <t>2.03.2022</t>
  </si>
  <si>
    <t>2.02.2022</t>
  </si>
  <si>
    <t>iphone X</t>
  </si>
  <si>
    <t>iphone 12 Pro</t>
  </si>
  <si>
    <t>10.02.2022</t>
  </si>
  <si>
    <t>Karadeniz</t>
  </si>
  <si>
    <t>giren toplam</t>
  </si>
  <si>
    <t>çıkan toplam</t>
  </si>
  <si>
    <t>iphone 14 pro max</t>
  </si>
  <si>
    <t>Satır Etiketleri</t>
  </si>
  <si>
    <t>Genel Toplam</t>
  </si>
  <si>
    <t>Toplam Adet</t>
  </si>
  <si>
    <t>Toplam Toplam Tutar</t>
  </si>
  <si>
    <t>12.04.2022</t>
  </si>
  <si>
    <t>Ciro</t>
  </si>
  <si>
    <t>toplam satış</t>
  </si>
  <si>
    <t>Sütun Etiketleri</t>
  </si>
  <si>
    <t>5.01.2022</t>
  </si>
  <si>
    <t>16.04.2022</t>
  </si>
  <si>
    <t>Fatih Kara</t>
  </si>
  <si>
    <t>YİNELENLERİ KALDIR</t>
  </si>
  <si>
    <t>Huawei</t>
  </si>
  <si>
    <t>18.03.2022</t>
  </si>
  <si>
    <t>20.06.2022</t>
  </si>
  <si>
    <t>Ankara</t>
  </si>
  <si>
    <t>23.02.2022</t>
  </si>
  <si>
    <t>20.02.2022</t>
  </si>
  <si>
    <t>06.05.2022</t>
  </si>
  <si>
    <t>Manisa</t>
  </si>
  <si>
    <t>A96</t>
  </si>
  <si>
    <t>16.05.2022</t>
  </si>
  <si>
    <t>Nova 10</t>
  </si>
  <si>
    <t>09.06.2022</t>
  </si>
  <si>
    <t>02.02.2023</t>
  </si>
  <si>
    <t>Emine</t>
  </si>
  <si>
    <t>Yıldız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</si>
</sst>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-[$₺-41F]* #,##0.00_-;\-[$₺-41F]* #,##0.00_-;_-[$₺-41F]* &quot;-&quot;??_-;_-@_-"/>
    <numFmt numFmtId="165" formatCode="&quot;₺&quot;#,##0.00"/>
    <numFmt numFmtId="166" formatCode="&quot;₺&quot;#,##0,\ &quot;K&quot;"/>
    <numFmt numFmtId="167" formatCode="m/d/yyyy"/>
    <numFmt numFmtId="168" formatCode="&quot;₺&quot;#,##0.0"/>
    <numFmt numFmtId="169" formatCode="_-&quot;₺&quot;* #,##0.0_-;\-&quot;₺&quot;* #,##0.0_-;_-&quot;₺&quot;* &quot;-&quot;?_-;_-@_-"/>
  </numFmts>
  <fonts count="17">
    <font>
      <sz val="11"/>
      <color theme="1"/>
      <name val="Calibri"/>
      <family val="2"/>
      <scheme val="minor"/>
    </font>
    <font>
      <sz val="11"/>
      <color theme="1"/>
      <name val="Congenial"/>
    </font>
    <font>
      <sz val="14"/>
      <color theme="1"/>
      <name val="Congenial"/>
    </font>
    <font>
      <sz val="11"/>
      <color rgb="FFA4BE7B"/>
      <name val="Calibri"/>
      <family val="2"/>
      <scheme val="minor"/>
    </font>
    <font>
      <sz val="11"/>
      <color theme="1" tint="0.14999847407452621"/>
      <name val="Congenial"/>
    </font>
    <font>
      <sz val="14"/>
      <color rgb="FFA4BE7B"/>
      <name val="Congenial"/>
    </font>
    <font>
      <b/>
      <sz val="14"/>
      <color rgb="FFA4BE7B"/>
      <name val="Congenial"/>
    </font>
    <font>
      <sz val="14"/>
      <color theme="6" tint="0.79998168889431442"/>
      <name val="Calibri"/>
      <family val="2"/>
      <scheme val="minor"/>
    </font>
    <font>
      <sz val="14"/>
      <color theme="6" tint="0.79998168889431442"/>
      <name val="Congenial"/>
    </font>
    <font>
      <sz val="12"/>
      <color theme="6" tint="0.79998168889431442"/>
      <name val="Congenial"/>
    </font>
    <font>
      <sz val="12"/>
      <color theme="1"/>
      <name val="Congenial"/>
    </font>
    <font>
      <sz val="14"/>
      <color theme="6" tint="0.79998168889431442"/>
      <name val="Calibri"/>
      <family val="2"/>
      <charset val="162"/>
      <scheme val="minor"/>
    </font>
    <font>
      <sz val="20"/>
      <color theme="6" tint="0.59999389629810485"/>
      <name val="Calibri"/>
      <family val="2"/>
      <scheme val="minor"/>
    </font>
    <font>
      <sz val="11"/>
      <color theme="6" tint="0.59999389629810485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12"/>
      <color theme="6" tint="0.79998168889431442"/>
      <name val="Calibri"/>
      <family val="2"/>
      <scheme val="minor"/>
    </font>
    <font>
      <sz val="14"/>
      <color theme="6" tint="0.79998168889431442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rgb="FFA4BE7B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4" borderId="0" xfId="0" applyFill="1"/>
    <xf numFmtId="0" fontId="1" fillId="3" borderId="0" xfId="0" applyFont="1" applyFill="1"/>
    <xf numFmtId="0" fontId="1" fillId="4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4" borderId="0" xfId="0" applyFont="1" applyFill="1" applyAlignment="1">
      <alignment vertical="center"/>
    </xf>
    <xf numFmtId="14" fontId="0" fillId="4" borderId="0" xfId="0" applyNumberFormat="1" applyFill="1" applyAlignment="1">
      <alignment horizontal="left" vertical="center" indent="1"/>
    </xf>
    <xf numFmtId="0" fontId="0" fillId="4" borderId="0" xfId="0" applyFill="1" applyAlignment="1">
      <alignment horizontal="left" vertical="center" indent="1"/>
    </xf>
    <xf numFmtId="165" fontId="0" fillId="4" borderId="0" xfId="0" applyNumberFormat="1" applyFill="1" applyAlignment="1">
      <alignment horizontal="left" vertical="center" indent="1"/>
    </xf>
    <xf numFmtId="164" fontId="0" fillId="4" borderId="0" xfId="0" applyNumberFormat="1" applyFill="1" applyAlignment="1">
      <alignment horizontal="left" vertical="center" indent="1"/>
    </xf>
    <xf numFmtId="0" fontId="3" fillId="3" borderId="0" xfId="0" applyFont="1" applyFill="1"/>
    <xf numFmtId="0" fontId="5" fillId="2" borderId="0" xfId="0" applyFont="1" applyFill="1" applyAlignment="1">
      <alignment horizontal="left" vertical="center" indent="1"/>
    </xf>
    <xf numFmtId="165" fontId="5" fillId="2" borderId="0" xfId="0" applyNumberFormat="1" applyFont="1" applyFill="1" applyAlignment="1">
      <alignment horizontal="left" vertical="center" indent="1"/>
    </xf>
    <xf numFmtId="164" fontId="5" fillId="2" borderId="0" xfId="0" applyNumberFormat="1" applyFont="1" applyFill="1" applyAlignment="1">
      <alignment horizontal="left" vertical="center" indent="1"/>
    </xf>
    <xf numFmtId="14" fontId="7" fillId="2" borderId="0" xfId="0" applyNumberFormat="1" applyFont="1" applyFill="1" applyAlignment="1">
      <alignment horizontal="left" vertical="center" indent="1"/>
    </xf>
    <xf numFmtId="0" fontId="7" fillId="2" borderId="0" xfId="0" applyFont="1" applyFill="1" applyAlignment="1">
      <alignment horizontal="left" vertical="center" indent="1"/>
    </xf>
    <xf numFmtId="165" fontId="7" fillId="2" borderId="0" xfId="0" applyNumberFormat="1" applyFont="1" applyFill="1" applyAlignment="1">
      <alignment horizontal="left" vertical="center" indent="1"/>
    </xf>
    <xf numFmtId="164" fontId="7" fillId="2" borderId="0" xfId="0" applyNumberFormat="1" applyFont="1" applyFill="1" applyAlignment="1">
      <alignment horizontal="left" vertical="center" indent="1"/>
    </xf>
    <xf numFmtId="14" fontId="5" fillId="2" borderId="0" xfId="0" applyNumberFormat="1" applyFont="1" applyFill="1" applyAlignment="1">
      <alignment horizontal="left" vertical="center" indent="1"/>
    </xf>
    <xf numFmtId="164" fontId="1" fillId="4" borderId="0" xfId="0" applyNumberFormat="1" applyFont="1" applyFill="1"/>
    <xf numFmtId="0" fontId="1" fillId="4" borderId="0" xfId="0" applyFont="1" applyFill="1" applyAlignment="1">
      <alignment horizontal="left" vertical="center" indent="3"/>
    </xf>
    <xf numFmtId="164" fontId="1" fillId="4" borderId="0" xfId="0" applyNumberFormat="1" applyFont="1" applyFill="1" applyAlignment="1">
      <alignment horizontal="left" vertical="center" indent="3"/>
    </xf>
    <xf numFmtId="0" fontId="5" fillId="2" borderId="0" xfId="0" applyFont="1" applyFill="1" applyAlignment="1">
      <alignment horizontal="center" vertical="center"/>
    </xf>
    <xf numFmtId="164" fontId="5" fillId="2" borderId="0" xfId="0" applyNumberFormat="1" applyFont="1" applyFill="1" applyAlignment="1">
      <alignment horizontal="left" vertical="center"/>
    </xf>
    <xf numFmtId="0" fontId="9" fillId="2" borderId="0" xfId="0" applyFont="1" applyFill="1"/>
    <xf numFmtId="164" fontId="9" fillId="2" borderId="0" xfId="0" applyNumberFormat="1" applyFont="1" applyFill="1"/>
    <xf numFmtId="0" fontId="6" fillId="2" borderId="0" xfId="0" applyFont="1" applyFill="1"/>
    <xf numFmtId="164" fontId="6" fillId="2" borderId="0" xfId="0" applyNumberFormat="1" applyFont="1" applyFill="1"/>
    <xf numFmtId="0" fontId="5" fillId="2" borderId="0" xfId="0" applyFont="1" applyFill="1"/>
    <xf numFmtId="0" fontId="9" fillId="2" borderId="0" xfId="0" applyFont="1" applyFill="1" applyAlignment="1">
      <alignment horizontal="center" vertical="center"/>
    </xf>
    <xf numFmtId="0" fontId="4" fillId="0" borderId="0" xfId="0" applyFont="1"/>
    <xf numFmtId="0" fontId="10" fillId="3" borderId="0" xfId="0" applyFont="1" applyFill="1"/>
    <xf numFmtId="0" fontId="10" fillId="4" borderId="0" xfId="0" applyFont="1" applyFill="1"/>
    <xf numFmtId="0" fontId="10" fillId="4" borderId="0" xfId="0" applyFont="1" applyFill="1" applyAlignment="1">
      <alignment horizontal="left" vertical="center" indent="1"/>
    </xf>
    <xf numFmtId="0" fontId="8" fillId="2" borderId="0" xfId="0" applyFont="1" applyFill="1" applyAlignment="1">
      <alignment horizontal="left" vertical="center" indent="1"/>
    </xf>
    <xf numFmtId="0" fontId="5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167" fontId="11" fillId="2" borderId="0" xfId="0" applyNumberFormat="1" applyFont="1" applyFill="1" applyAlignment="1">
      <alignment horizontal="left" vertical="center" indent="1"/>
    </xf>
    <xf numFmtId="0" fontId="11" fillId="2" borderId="0" xfId="0" applyFont="1" applyFill="1" applyAlignment="1">
      <alignment horizontal="left" vertical="center" indent="1"/>
    </xf>
    <xf numFmtId="165" fontId="11" fillId="2" borderId="0" xfId="0" applyNumberFormat="1" applyFont="1" applyFill="1" applyAlignment="1">
      <alignment horizontal="left" vertical="center" indent="1"/>
    </xf>
    <xf numFmtId="0" fontId="11" fillId="2" borderId="0" xfId="0" applyFont="1" applyFill="1" applyAlignment="1">
      <alignment horizontal="left" vertical="center"/>
    </xf>
    <xf numFmtId="164" fontId="11" fillId="2" borderId="0" xfId="0" applyNumberFormat="1" applyFont="1" applyFill="1" applyAlignment="1">
      <alignment horizontal="left" vertical="center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6" fontId="0" fillId="0" borderId="0" xfId="0" applyNumberFormat="1"/>
    <xf numFmtId="168" fontId="12" fillId="0" borderId="0" xfId="0" applyNumberFormat="1" applyFont="1"/>
    <xf numFmtId="0" fontId="0" fillId="0" borderId="0" xfId="0" applyAlignment="1">
      <alignment horizontal="right"/>
    </xf>
    <xf numFmtId="0" fontId="13" fillId="0" borderId="0" xfId="0" applyFont="1"/>
    <xf numFmtId="0" fontId="0" fillId="0" borderId="0" xfId="0" applyAlignment="1">
      <alignment horizontal="left" vertical="center"/>
    </xf>
    <xf numFmtId="0" fontId="9" fillId="2" borderId="0" xfId="0" applyFont="1" applyFill="1" applyAlignment="1"/>
    <xf numFmtId="164" fontId="9" fillId="2" borderId="0" xfId="0" applyNumberFormat="1" applyFont="1" applyFill="1" applyAlignment="1"/>
    <xf numFmtId="0" fontId="9" fillId="2" borderId="0" xfId="0" applyNumberFormat="1" applyFont="1" applyFill="1" applyAlignment="1">
      <alignment horizontal="center" vertical="center"/>
    </xf>
    <xf numFmtId="0" fontId="9" fillId="2" borderId="0" xfId="0" applyFont="1" applyFill="1" applyBorder="1" applyAlignme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69" fontId="14" fillId="0" borderId="0" xfId="0" applyNumberFormat="1" applyFont="1" applyAlignment="1">
      <alignment horizontal="left" vertical="center"/>
    </xf>
    <xf numFmtId="169" fontId="15" fillId="0" borderId="0" xfId="0" applyNumberFormat="1" applyFont="1"/>
    <xf numFmtId="167" fontId="16" fillId="2" borderId="0" xfId="0" applyNumberFormat="1" applyFont="1" applyFill="1" applyAlignment="1">
      <alignment horizontal="left" vertical="center" indent="1"/>
    </xf>
    <xf numFmtId="0" fontId="16" fillId="2" borderId="0" xfId="0" applyFont="1" applyFill="1" applyAlignment="1">
      <alignment horizontal="left" vertical="center" indent="1"/>
    </xf>
    <xf numFmtId="165" fontId="16" fillId="2" borderId="0" xfId="0" applyNumberFormat="1" applyFont="1" applyFill="1" applyAlignment="1">
      <alignment horizontal="left" vertical="center" indent="1"/>
    </xf>
    <xf numFmtId="0" fontId="16" fillId="2" borderId="0" xfId="0" applyFont="1" applyFill="1" applyAlignment="1">
      <alignment horizontal="left" vertical="center"/>
    </xf>
    <xf numFmtId="164" fontId="16" fillId="2" borderId="0" xfId="0" applyNumberFormat="1" applyFont="1" applyFill="1" applyAlignment="1">
      <alignment horizontal="left" vertical="center" indent="1"/>
    </xf>
  </cellXfs>
  <cellStyles count="1">
    <cellStyle name="Normal" xfId="0" builtinId="0"/>
  </cellStyles>
  <dxfs count="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ongen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ongen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ongen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ongenial"/>
        <scheme val="none"/>
      </font>
    </dxf>
    <dxf>
      <font>
        <strike val="0"/>
        <outline val="0"/>
        <shadow val="0"/>
        <u val="none"/>
        <vertAlign val="baseline"/>
        <sz val="14"/>
        <color theme="6" tint="0.79998168889431442"/>
        <name val="Congenial"/>
        <scheme val="none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6" tint="0.79998168889431442"/>
        <name val="Congenial"/>
        <scheme val="none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6" tint="0.79998168889431442"/>
        <name val="Congenial"/>
        <scheme val="none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rgb="FFA4BE7B"/>
        <name val="Congenial"/>
        <scheme val="none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6" tint="0.79998168889431442"/>
        <name val="Calibri"/>
        <scheme val="minor"/>
      </font>
      <numFmt numFmtId="164" formatCode="_-[$₺-41F]* #,##0.00_-;\-[$₺-41F]* #,##0.00_-;_-[$₺-41F]* &quot;-&quot;??_-;_-@_-"/>
      <fill>
        <patternFill patternType="solid">
          <fgColor indexed="64"/>
          <bgColor theme="1" tint="0.14999847407452621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6" tint="0.79998168889431442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6" tint="0.79998168889431442"/>
        <name val="Calibri"/>
        <scheme val="minor"/>
      </font>
      <numFmt numFmtId="165" formatCode="&quot;₺&quot;#,##0.00"/>
      <fill>
        <patternFill patternType="solid">
          <fgColor indexed="64"/>
          <bgColor theme="1" tint="0.14999847407452621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6" tint="0.79998168889431442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6" tint="0.79998168889431442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6" tint="0.79998168889431442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6" tint="0.79998168889431442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6" tint="0.79998168889431442"/>
        <name val="Calibri"/>
        <scheme val="minor"/>
      </font>
      <numFmt numFmtId="167" formatCode="m/d/yyyy"/>
      <fill>
        <patternFill patternType="solid">
          <fgColor indexed="64"/>
          <bgColor theme="1" tint="0.14999847407452621"/>
        </patternFill>
      </fill>
      <alignment horizontal="left" vertical="center" textRotation="0" wrapText="0" indent="1" justifyLastLine="0" shrinkToFit="0" readingOrder="0"/>
    </dxf>
    <dxf>
      <border diagonalUp="0" diagonalDown="0">
        <left/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6" tint="0.79998168889431442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rgb="FFA4BE7B"/>
        <name val="Congenial"/>
        <scheme val="none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6" tint="0.79998168889431442"/>
        <name val="Congenial"/>
        <scheme val="none"/>
      </font>
      <fill>
        <patternFill patternType="solid">
          <fgColor indexed="64"/>
          <bgColor theme="1" tint="0.14999847407452621"/>
        </patternFill>
      </fill>
    </dxf>
    <dxf>
      <font>
        <strike val="0"/>
        <outline val="0"/>
        <shadow val="0"/>
        <u val="none"/>
        <vertAlign val="baseline"/>
        <sz val="12"/>
        <color theme="6" tint="0.79998168889431442"/>
        <name val="Congenial"/>
        <scheme val="none"/>
      </font>
      <numFmt numFmtId="164" formatCode="_-[$₺-41F]* #,##0.00_-;\-[$₺-41F]* #,##0.00_-;_-[$₺-41F]* &quot;-&quot;??_-;_-@_-"/>
      <fill>
        <patternFill patternType="solid">
          <fgColor indexed="64"/>
          <bgColor theme="1" tint="0.14999847407452621"/>
        </patternFill>
      </fill>
    </dxf>
    <dxf>
      <font>
        <strike val="0"/>
        <outline val="0"/>
        <shadow val="0"/>
        <u val="none"/>
        <vertAlign val="baseline"/>
        <sz val="12"/>
        <color theme="6" tint="0.79998168889431442"/>
        <name val="Congenial"/>
        <scheme val="none"/>
      </font>
      <fill>
        <patternFill patternType="solid">
          <fgColor indexed="64"/>
          <bgColor theme="1" tint="0.14999847407452621"/>
        </patternFill>
      </fill>
    </dxf>
    <dxf>
      <font>
        <strike val="0"/>
        <outline val="0"/>
        <shadow val="0"/>
        <u val="none"/>
        <vertAlign val="baseline"/>
        <sz val="12"/>
        <color theme="6" tint="0.79998168889431442"/>
        <name val="Congenial"/>
        <scheme val="none"/>
      </font>
      <fill>
        <patternFill patternType="solid">
          <fgColor indexed="64"/>
          <bgColor theme="1" tint="0.14999847407452621"/>
        </patternFill>
      </fill>
    </dxf>
    <dxf>
      <font>
        <strike val="0"/>
        <outline val="0"/>
        <shadow val="0"/>
        <u val="none"/>
        <vertAlign val="baseline"/>
        <sz val="12"/>
        <color theme="6" tint="0.79998168889431442"/>
        <name val="Congenial"/>
        <scheme val="none"/>
      </font>
      <fill>
        <patternFill patternType="solid">
          <fgColor indexed="64"/>
          <bgColor theme="1" tint="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A4BE7B"/>
        <name val="Congenial"/>
        <scheme val="none"/>
      </font>
      <fill>
        <patternFill patternType="solid">
          <fgColor indexed="64"/>
          <bgColor theme="1" tint="0.14999847407452621"/>
        </patternFill>
      </fill>
    </dxf>
    <dxf>
      <font>
        <strike val="0"/>
        <outline val="0"/>
        <shadow val="0"/>
        <u val="none"/>
        <vertAlign val="baseline"/>
        <sz val="12"/>
        <color theme="6" tint="0.79998168889431442"/>
        <name val="Congenial"/>
        <scheme val="none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6" tint="0.79998168889431442"/>
        <name val="Congenial"/>
        <scheme val="none"/>
      </font>
      <numFmt numFmtId="164" formatCode="_-[$₺-41F]* #,##0.00_-;\-[$₺-41F]* #,##0.00_-;_-[$₺-41F]* &quot;-&quot;??_-;_-@_-"/>
      <fill>
        <patternFill patternType="solid">
          <fgColor indexed="64"/>
          <bgColor theme="1" tint="0.1499984740745262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6" tint="0.79998168889431442"/>
        <name val="Congenial"/>
        <scheme val="none"/>
      </font>
      <fill>
        <patternFill patternType="solid">
          <fgColor indexed="64"/>
          <bgColor theme="1" tint="0.1499984740745262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6" tint="0.79998168889431442"/>
        <name val="Congenial"/>
        <scheme val="none"/>
      </font>
      <fill>
        <patternFill patternType="solid">
          <fgColor indexed="64"/>
          <bgColor theme="1" tint="0.1499984740745262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6" tint="0.79998168889431442"/>
        <name val="Congenial"/>
        <scheme val="none"/>
      </font>
      <fill>
        <patternFill patternType="solid">
          <fgColor indexed="64"/>
          <bgColor theme="1" tint="0.1499984740745262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A4BE7B"/>
        <name val="Congenial"/>
        <scheme val="none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Medium9"/>
  <colors>
    <mruColors>
      <color rgb="FFA4BE7B"/>
      <color rgb="FF3B4A1E"/>
      <color rgb="FF556A2C"/>
      <color rgb="FF850E35"/>
      <color rgb="FFFFC4C4"/>
      <color rgb="FFEE6983"/>
      <color rgb="FFFFF5E4"/>
      <color rgb="FFB7C4CF"/>
      <color rgb="FF967E76"/>
      <color rgb="FF4834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[StokKayıt.xlsb.xlsm]Tablolar!PivotTable6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800">
                <a:solidFill>
                  <a:schemeClr val="accent3">
                    <a:lumMod val="40000"/>
                    <a:lumOff val="60000"/>
                  </a:schemeClr>
                </a:solidFill>
              </a:rPr>
              <a:t>İllere</a:t>
            </a:r>
            <a:r>
              <a:rPr lang="tr-TR" sz="1800" baseline="0">
                <a:solidFill>
                  <a:schemeClr val="accent3">
                    <a:lumMod val="40000"/>
                    <a:lumOff val="60000"/>
                  </a:schemeClr>
                </a:solidFill>
              </a:rPr>
              <a:t> Göre Satılan Model Dağılımı</a:t>
            </a:r>
            <a:endParaRPr lang="tr-TR" sz="1800">
              <a:solidFill>
                <a:schemeClr val="accent3">
                  <a:lumMod val="40000"/>
                  <a:lumOff val="60000"/>
                </a:schemeClr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4.3472965879265094E-2"/>
          <c:y val="0.15277777777777779"/>
          <c:w val="0.77828643419572552"/>
          <c:h val="0.73982283464566923"/>
        </c:manualLayout>
      </c:layout>
      <c:lineChart>
        <c:grouping val="stacked"/>
        <c:varyColors val="0"/>
        <c:ser>
          <c:idx val="0"/>
          <c:order val="0"/>
          <c:tx>
            <c:strRef>
              <c:f>Tablolar!$I$3:$I$4</c:f>
              <c:strCache>
                <c:ptCount val="1"/>
                <c:pt idx="0">
                  <c:v>Galaxy Note 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Tablolar!$I$5:$I$14</c:f>
              <c:numCache>
                <c:formatCode>General</c:formatCode>
                <c:ptCount val="9"/>
                <c:pt idx="2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Tablolar!$J$3:$J$4</c:f>
              <c:strCache>
                <c:ptCount val="1"/>
                <c:pt idx="0">
                  <c:v>Galaxy S21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Tablolar!$J$5:$J$14</c:f>
              <c:numCache>
                <c:formatCode>General</c:formatCode>
                <c:ptCount val="9"/>
                <c:pt idx="0">
                  <c:v>13</c:v>
                </c:pt>
                <c:pt idx="5">
                  <c:v>16</c:v>
                </c:pt>
                <c:pt idx="6">
                  <c:v>23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Tablolar!$K$3:$K$4</c:f>
              <c:strCache>
                <c:ptCount val="1"/>
                <c:pt idx="0">
                  <c:v>Galaxy S21+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Tablolar!$K$5:$K$14</c:f>
              <c:numCache>
                <c:formatCode>General</c:formatCode>
                <c:ptCount val="9"/>
                <c:pt idx="4">
                  <c:v>13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Tablolar!$L$3:$L$4</c:f>
              <c:strCache>
                <c:ptCount val="1"/>
                <c:pt idx="0">
                  <c:v>İphone 11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Tablolar!$L$5:$L$14</c:f>
              <c:numCache>
                <c:formatCode>General</c:formatCode>
                <c:ptCount val="9"/>
                <c:pt idx="1">
                  <c:v>35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Tablolar!$M$3:$M$4</c:f>
              <c:strCache>
                <c:ptCount val="1"/>
                <c:pt idx="0">
                  <c:v>iphone 11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Tablolar!$M$5:$M$14</c:f>
              <c:numCache>
                <c:formatCode>General</c:formatCode>
                <c:ptCount val="9"/>
                <c:pt idx="7">
                  <c:v>10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Tablolar!$N$3:$N$4</c:f>
              <c:strCache>
                <c:ptCount val="1"/>
                <c:pt idx="0">
                  <c:v>iphone 12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Tablolar!$N$5:$N$14</c:f>
              <c:numCache>
                <c:formatCode>General</c:formatCode>
                <c:ptCount val="9"/>
                <c:pt idx="1">
                  <c:v>38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Tablolar!$O$3:$O$4</c:f>
              <c:strCache>
                <c:ptCount val="1"/>
                <c:pt idx="0">
                  <c:v>iphone 13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Tablolar!$O$5:$O$14</c:f>
              <c:numCache>
                <c:formatCode>General</c:formatCode>
                <c:ptCount val="9"/>
                <c:pt idx="2">
                  <c:v>70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Tablolar!$P$3:$P$4</c:f>
              <c:strCache>
                <c:ptCount val="1"/>
                <c:pt idx="0">
                  <c:v>iphone 13 pro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Tablolar!$P$5:$P$14</c:f>
              <c:numCache>
                <c:formatCode>General</c:formatCode>
                <c:ptCount val="9"/>
                <c:pt idx="5">
                  <c:v>21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Tablolar!$Q$3:$Q$4</c:f>
              <c:strCache>
                <c:ptCount val="1"/>
                <c:pt idx="0">
                  <c:v>iphone X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Tablolar!$Q$5:$Q$14</c:f>
              <c:numCache>
                <c:formatCode>General</c:formatCode>
                <c:ptCount val="9"/>
                <c:pt idx="3">
                  <c:v>20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Tablolar!$R$3:$R$4</c:f>
              <c:strCache>
                <c:ptCount val="1"/>
                <c:pt idx="0">
                  <c:v>Redmi Note 10 Lite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Tablolar!$R$5:$R$14</c:f>
              <c:numCache>
                <c:formatCode>General</c:formatCode>
                <c:ptCount val="9"/>
                <c:pt idx="0">
                  <c:v>40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Tablolar!$S$3:$S$4</c:f>
              <c:strCache>
                <c:ptCount val="1"/>
                <c:pt idx="0">
                  <c:v>Rino 2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Tablolar!$S$5:$S$14</c:f>
              <c:numCache>
                <c:formatCode>General</c:formatCode>
                <c:ptCount val="9"/>
                <c:pt idx="0">
                  <c:v>2</c:v>
                </c:pt>
                <c:pt idx="2">
                  <c:v>40</c:v>
                </c:pt>
                <c:pt idx="3">
                  <c:v>25</c:v>
                </c:pt>
                <c:pt idx="8">
                  <c:v>15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Tablolar!$T$3:$T$4</c:f>
              <c:strCache>
                <c:ptCount val="1"/>
                <c:pt idx="0">
                  <c:v>A96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Tablolar!$T$5:$T$14</c:f>
              <c:numCache>
                <c:formatCode>General</c:formatCode>
                <c:ptCount val="9"/>
                <c:pt idx="7">
                  <c:v>50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Tablolar!$U$3:$U$4</c:f>
              <c:strCache>
                <c:ptCount val="1"/>
                <c:pt idx="0">
                  <c:v>Nova 10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Tablolar!$U$5:$U$14</c:f>
              <c:numCache>
                <c:formatCode>General</c:formatCode>
                <c:ptCount val="9"/>
                <c:pt idx="6">
                  <c:v>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6544"/>
        <c:axId val="1100016"/>
      </c:lineChart>
      <c:catAx>
        <c:axId val="110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00016"/>
        <c:crosses val="autoZero"/>
        <c:auto val="1"/>
        <c:lblAlgn val="ctr"/>
        <c:lblOffset val="100"/>
        <c:noMultiLvlLbl val="0"/>
      </c:catAx>
      <c:valAx>
        <c:axId val="110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06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[StokKayıt.xlsb.xlsm]Tablolar!PivotTable8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>
                <a:solidFill>
                  <a:schemeClr val="accent3">
                    <a:lumMod val="40000"/>
                    <a:lumOff val="60000"/>
                  </a:schemeClr>
                </a:solidFill>
              </a:rPr>
              <a:t>Marka</a:t>
            </a:r>
            <a:r>
              <a:rPr lang="tr-TR" baseline="0">
                <a:solidFill>
                  <a:schemeClr val="accent3">
                    <a:lumMod val="40000"/>
                    <a:lumOff val="60000"/>
                  </a:schemeClr>
                </a:solidFill>
              </a:rPr>
              <a:t> Dağılımı</a:t>
            </a:r>
            <a:endParaRPr lang="en-US">
              <a:solidFill>
                <a:schemeClr val="accent3">
                  <a:lumMod val="40000"/>
                  <a:lumOff val="60000"/>
                </a:schemeClr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3">
              <a:shade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3">
              <a:shade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3">
              <a:tint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3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7"/>
        <c:spPr>
          <a:solidFill>
            <a:schemeClr val="accent3">
              <a:shade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3">
              <a:shade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3">
              <a:tint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3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3">
              <a:tint val="54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Tablolar!$W$3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Tablolar!$V$4:$V$9</c:f>
              <c:strCache>
                <c:ptCount val="5"/>
                <c:pt idx="0">
                  <c:v>Apple</c:v>
                </c:pt>
                <c:pt idx="1">
                  <c:v>Oppo</c:v>
                </c:pt>
                <c:pt idx="2">
                  <c:v>Samsung</c:v>
                </c:pt>
                <c:pt idx="3">
                  <c:v>Xiaomi</c:v>
                </c:pt>
                <c:pt idx="4">
                  <c:v>Huawei</c:v>
                </c:pt>
              </c:strCache>
            </c:strRef>
          </c:cat>
          <c:val>
            <c:numRef>
              <c:f>Tablolar!$W$4:$W$9</c:f>
              <c:numCache>
                <c:formatCode>General</c:formatCode>
                <c:ptCount val="5"/>
                <c:pt idx="0">
                  <c:v>3927300</c:v>
                </c:pt>
                <c:pt idx="1">
                  <c:v>1663000</c:v>
                </c:pt>
                <c:pt idx="2">
                  <c:v>1558238</c:v>
                </c:pt>
                <c:pt idx="3">
                  <c:v>581800</c:v>
                </c:pt>
                <c:pt idx="4">
                  <c:v>680000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683657963807145E-2"/>
          <c:y val="0.89409667541557303"/>
          <c:w val="0.86156844868075699"/>
          <c:h val="7.8125546806649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[StokKayıt.xlsb.xlsm]Tablolar!PivotTable5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>
                <a:solidFill>
                  <a:schemeClr val="accent3">
                    <a:lumMod val="20000"/>
                    <a:lumOff val="80000"/>
                  </a:schemeClr>
                </a:solidFill>
              </a:rPr>
              <a:t>Satış</a:t>
            </a:r>
            <a:r>
              <a:rPr lang="tr-TR" sz="1400" baseline="0">
                <a:solidFill>
                  <a:schemeClr val="accent3">
                    <a:lumMod val="20000"/>
                    <a:lumOff val="80000"/>
                  </a:schemeClr>
                </a:solidFill>
              </a:rPr>
              <a:t> Personelleri/ Satış Adeti/Satış Değeri</a:t>
            </a:r>
            <a:endParaRPr lang="tr-TR" sz="1400">
              <a:solidFill>
                <a:schemeClr val="accent3">
                  <a:lumMod val="20000"/>
                  <a:lumOff val="80000"/>
                </a:schemeClr>
              </a:solidFill>
            </a:endParaRPr>
          </a:p>
        </c:rich>
      </c:tx>
      <c:layout>
        <c:manualLayout>
          <c:xMode val="edge"/>
          <c:yMode val="edge"/>
          <c:x val="0.1307398140652979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rgbClr val="A4BE7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3">
                      <a:lumMod val="20000"/>
                      <a:lumOff val="8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rgbClr val="A4BE7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3">
                      <a:lumMod val="20000"/>
                      <a:lumOff val="8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A4BE7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3">
                      <a:lumMod val="20000"/>
                      <a:lumOff val="8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A4BE7B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accent3">
                      <a:lumMod val="20000"/>
                      <a:lumOff val="8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4465523585252774"/>
          <c:y val="0.16666666666666666"/>
          <c:w val="0.69615473299482422"/>
          <c:h val="0.7638888888888888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Tablolar!$B$3</c:f>
              <c:strCache>
                <c:ptCount val="1"/>
                <c:pt idx="0">
                  <c:v>Toplam Adet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Tablolar!$A$4:$A$10</c:f>
              <c:strCache>
                <c:ptCount val="6"/>
                <c:pt idx="0">
                  <c:v>Musa Topak</c:v>
                </c:pt>
                <c:pt idx="1">
                  <c:v>Elif Yılmaz</c:v>
                </c:pt>
                <c:pt idx="2">
                  <c:v>Rabia Bilgi</c:v>
                </c:pt>
                <c:pt idx="3">
                  <c:v>Samet Gökbuğa</c:v>
                </c:pt>
                <c:pt idx="4">
                  <c:v>Cemre Karakurt</c:v>
                </c:pt>
                <c:pt idx="5">
                  <c:v>Uğur Kandemir</c:v>
                </c:pt>
              </c:strCache>
            </c:strRef>
          </c:cat>
          <c:val>
            <c:numRef>
              <c:f>Tablolar!$B$4:$B$10</c:f>
              <c:numCache>
                <c:formatCode>General</c:formatCode>
                <c:ptCount val="6"/>
                <c:pt idx="0">
                  <c:v>51</c:v>
                </c:pt>
                <c:pt idx="1">
                  <c:v>58</c:v>
                </c:pt>
                <c:pt idx="2">
                  <c:v>80</c:v>
                </c:pt>
                <c:pt idx="3">
                  <c:v>66</c:v>
                </c:pt>
                <c:pt idx="4">
                  <c:v>126</c:v>
                </c:pt>
                <c:pt idx="5">
                  <c:v>120</c:v>
                </c:pt>
              </c:numCache>
            </c:numRef>
          </c:val>
        </c:ser>
        <c:ser>
          <c:idx val="1"/>
          <c:order val="1"/>
          <c:tx>
            <c:strRef>
              <c:f>Tablolar!$C$3</c:f>
              <c:strCache>
                <c:ptCount val="1"/>
                <c:pt idx="0">
                  <c:v>Toplam Toplam Tutar</c:v>
                </c:pt>
              </c:strCache>
            </c:strRef>
          </c:tx>
          <c:spPr>
            <a:solidFill>
              <a:srgbClr val="A4BE7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Tablolar!$A$4:$A$10</c:f>
              <c:strCache>
                <c:ptCount val="6"/>
                <c:pt idx="0">
                  <c:v>Musa Topak</c:v>
                </c:pt>
                <c:pt idx="1">
                  <c:v>Elif Yılmaz</c:v>
                </c:pt>
                <c:pt idx="2">
                  <c:v>Rabia Bilgi</c:v>
                </c:pt>
                <c:pt idx="3">
                  <c:v>Samet Gökbuğa</c:v>
                </c:pt>
                <c:pt idx="4">
                  <c:v>Cemre Karakurt</c:v>
                </c:pt>
                <c:pt idx="5">
                  <c:v>Uğur Kandemir</c:v>
                </c:pt>
              </c:strCache>
            </c:strRef>
          </c:cat>
          <c:val>
            <c:numRef>
              <c:f>Tablolar!$C$4:$C$10</c:f>
              <c:numCache>
                <c:formatCode>"₺"#,##0,\ "K"</c:formatCode>
                <c:ptCount val="6"/>
                <c:pt idx="0">
                  <c:v>852770</c:v>
                </c:pt>
                <c:pt idx="1">
                  <c:v>914210</c:v>
                </c:pt>
                <c:pt idx="2">
                  <c:v>967400</c:v>
                </c:pt>
                <c:pt idx="3">
                  <c:v>1268650</c:v>
                </c:pt>
                <c:pt idx="4">
                  <c:v>2131308</c:v>
                </c:pt>
                <c:pt idx="5">
                  <c:v>2276000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7"/>
        <c:overlap val="100"/>
        <c:axId val="1107632"/>
        <c:axId val="1108176"/>
      </c:barChart>
      <c:catAx>
        <c:axId val="1107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08176"/>
        <c:crosses val="autoZero"/>
        <c:auto val="1"/>
        <c:lblAlgn val="ctr"/>
        <c:lblOffset val="100"/>
        <c:noMultiLvlLbl val="0"/>
      </c:catAx>
      <c:valAx>
        <c:axId val="11081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0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[StokKayıt.xlsb.xlsm]Tablolar!PivotTable5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rgbClr val="A4BE7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3">
                      <a:lumMod val="20000"/>
                      <a:lumOff val="8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rgbClr val="A4BE7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3">
                      <a:lumMod val="20000"/>
                      <a:lumOff val="8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Tablolar!$B$3</c:f>
              <c:strCache>
                <c:ptCount val="1"/>
                <c:pt idx="0">
                  <c:v>Toplam Adet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Tablolar!$A$4:$A$10</c:f>
              <c:strCache>
                <c:ptCount val="6"/>
                <c:pt idx="0">
                  <c:v>Musa Topak</c:v>
                </c:pt>
                <c:pt idx="1">
                  <c:v>Elif Yılmaz</c:v>
                </c:pt>
                <c:pt idx="2">
                  <c:v>Rabia Bilgi</c:v>
                </c:pt>
                <c:pt idx="3">
                  <c:v>Samet Gökbuğa</c:v>
                </c:pt>
                <c:pt idx="4">
                  <c:v>Cemre Karakurt</c:v>
                </c:pt>
                <c:pt idx="5">
                  <c:v>Uğur Kandemir</c:v>
                </c:pt>
              </c:strCache>
            </c:strRef>
          </c:cat>
          <c:val>
            <c:numRef>
              <c:f>Tablolar!$B$4:$B$10</c:f>
              <c:numCache>
                <c:formatCode>General</c:formatCode>
                <c:ptCount val="6"/>
                <c:pt idx="0">
                  <c:v>51</c:v>
                </c:pt>
                <c:pt idx="1">
                  <c:v>58</c:v>
                </c:pt>
                <c:pt idx="2">
                  <c:v>80</c:v>
                </c:pt>
                <c:pt idx="3">
                  <c:v>66</c:v>
                </c:pt>
                <c:pt idx="4">
                  <c:v>126</c:v>
                </c:pt>
                <c:pt idx="5">
                  <c:v>120</c:v>
                </c:pt>
              </c:numCache>
            </c:numRef>
          </c:val>
        </c:ser>
        <c:ser>
          <c:idx val="1"/>
          <c:order val="1"/>
          <c:tx>
            <c:strRef>
              <c:f>Tablolar!$C$3</c:f>
              <c:strCache>
                <c:ptCount val="1"/>
                <c:pt idx="0">
                  <c:v>Toplam Toplam Tutar</c:v>
                </c:pt>
              </c:strCache>
            </c:strRef>
          </c:tx>
          <c:spPr>
            <a:solidFill>
              <a:srgbClr val="A4BE7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Tablolar!$A$4:$A$10</c:f>
              <c:strCache>
                <c:ptCount val="6"/>
                <c:pt idx="0">
                  <c:v>Musa Topak</c:v>
                </c:pt>
                <c:pt idx="1">
                  <c:v>Elif Yılmaz</c:v>
                </c:pt>
                <c:pt idx="2">
                  <c:v>Rabia Bilgi</c:v>
                </c:pt>
                <c:pt idx="3">
                  <c:v>Samet Gökbuğa</c:v>
                </c:pt>
                <c:pt idx="4">
                  <c:v>Cemre Karakurt</c:v>
                </c:pt>
                <c:pt idx="5">
                  <c:v>Uğur Kandemir</c:v>
                </c:pt>
              </c:strCache>
            </c:strRef>
          </c:cat>
          <c:val>
            <c:numRef>
              <c:f>Tablolar!$C$4:$C$10</c:f>
              <c:numCache>
                <c:formatCode>"₺"#,##0,\ "K"</c:formatCode>
                <c:ptCount val="6"/>
                <c:pt idx="0">
                  <c:v>852770</c:v>
                </c:pt>
                <c:pt idx="1">
                  <c:v>914210</c:v>
                </c:pt>
                <c:pt idx="2">
                  <c:v>967400</c:v>
                </c:pt>
                <c:pt idx="3">
                  <c:v>1268650</c:v>
                </c:pt>
                <c:pt idx="4">
                  <c:v>2131308</c:v>
                </c:pt>
                <c:pt idx="5">
                  <c:v>2276000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7"/>
        <c:overlap val="100"/>
        <c:axId val="1824848848"/>
        <c:axId val="10208976"/>
      </c:barChart>
      <c:catAx>
        <c:axId val="182484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208976"/>
        <c:crosses val="autoZero"/>
        <c:auto val="1"/>
        <c:lblAlgn val="ctr"/>
        <c:lblOffset val="100"/>
        <c:noMultiLvlLbl val="0"/>
      </c:catAx>
      <c:valAx>
        <c:axId val="102089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2484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[StokKayıt.xlsb.xlsm]Tablolar!PivotTable6</c:name>
    <c:fmtId val="4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Tablolar!$I$3:$I$4</c:f>
              <c:strCache>
                <c:ptCount val="1"/>
                <c:pt idx="0">
                  <c:v>Galaxy Note 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Tablolar!$I$5:$I$14</c:f>
              <c:numCache>
                <c:formatCode>General</c:formatCode>
                <c:ptCount val="9"/>
                <c:pt idx="2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Tablolar!$J$3:$J$4</c:f>
              <c:strCache>
                <c:ptCount val="1"/>
                <c:pt idx="0">
                  <c:v>Galaxy S21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Tablolar!$J$5:$J$14</c:f>
              <c:numCache>
                <c:formatCode>General</c:formatCode>
                <c:ptCount val="9"/>
                <c:pt idx="0">
                  <c:v>13</c:v>
                </c:pt>
                <c:pt idx="5">
                  <c:v>16</c:v>
                </c:pt>
                <c:pt idx="6">
                  <c:v>23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Tablolar!$K$3:$K$4</c:f>
              <c:strCache>
                <c:ptCount val="1"/>
                <c:pt idx="0">
                  <c:v>Galaxy S21+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Tablolar!$K$5:$K$14</c:f>
              <c:numCache>
                <c:formatCode>General</c:formatCode>
                <c:ptCount val="9"/>
                <c:pt idx="4">
                  <c:v>13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Tablolar!$L$3:$L$4</c:f>
              <c:strCache>
                <c:ptCount val="1"/>
                <c:pt idx="0">
                  <c:v>İphone 11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Tablolar!$L$5:$L$14</c:f>
              <c:numCache>
                <c:formatCode>General</c:formatCode>
                <c:ptCount val="9"/>
                <c:pt idx="1">
                  <c:v>35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Tablolar!$M$3:$M$4</c:f>
              <c:strCache>
                <c:ptCount val="1"/>
                <c:pt idx="0">
                  <c:v>iphone 11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Tablolar!$M$5:$M$14</c:f>
              <c:numCache>
                <c:formatCode>General</c:formatCode>
                <c:ptCount val="9"/>
                <c:pt idx="7">
                  <c:v>10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Tablolar!$N$3:$N$4</c:f>
              <c:strCache>
                <c:ptCount val="1"/>
                <c:pt idx="0">
                  <c:v>iphone 12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Tablolar!$N$5:$N$14</c:f>
              <c:numCache>
                <c:formatCode>General</c:formatCode>
                <c:ptCount val="9"/>
                <c:pt idx="1">
                  <c:v>38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Tablolar!$O$3:$O$4</c:f>
              <c:strCache>
                <c:ptCount val="1"/>
                <c:pt idx="0">
                  <c:v>iphone 13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Tablolar!$O$5:$O$14</c:f>
              <c:numCache>
                <c:formatCode>General</c:formatCode>
                <c:ptCount val="9"/>
                <c:pt idx="2">
                  <c:v>70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Tablolar!$P$3:$P$4</c:f>
              <c:strCache>
                <c:ptCount val="1"/>
                <c:pt idx="0">
                  <c:v>iphone 13 pro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Tablolar!$P$5:$P$14</c:f>
              <c:numCache>
                <c:formatCode>General</c:formatCode>
                <c:ptCount val="9"/>
                <c:pt idx="5">
                  <c:v>21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Tablolar!$Q$3:$Q$4</c:f>
              <c:strCache>
                <c:ptCount val="1"/>
                <c:pt idx="0">
                  <c:v>iphone X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Tablolar!$Q$5:$Q$14</c:f>
              <c:numCache>
                <c:formatCode>General</c:formatCode>
                <c:ptCount val="9"/>
                <c:pt idx="3">
                  <c:v>20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Tablolar!$R$3:$R$4</c:f>
              <c:strCache>
                <c:ptCount val="1"/>
                <c:pt idx="0">
                  <c:v>Redmi Note 10 Lite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Tablolar!$R$5:$R$14</c:f>
              <c:numCache>
                <c:formatCode>General</c:formatCode>
                <c:ptCount val="9"/>
                <c:pt idx="0">
                  <c:v>40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Tablolar!$S$3:$S$4</c:f>
              <c:strCache>
                <c:ptCount val="1"/>
                <c:pt idx="0">
                  <c:v>Rino 2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Tablolar!$S$5:$S$14</c:f>
              <c:numCache>
                <c:formatCode>General</c:formatCode>
                <c:ptCount val="9"/>
                <c:pt idx="0">
                  <c:v>2</c:v>
                </c:pt>
                <c:pt idx="2">
                  <c:v>40</c:v>
                </c:pt>
                <c:pt idx="3">
                  <c:v>25</c:v>
                </c:pt>
                <c:pt idx="8">
                  <c:v>15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Tablolar!$T$3:$T$4</c:f>
              <c:strCache>
                <c:ptCount val="1"/>
                <c:pt idx="0">
                  <c:v>A96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Tablolar!$T$5:$T$14</c:f>
              <c:numCache>
                <c:formatCode>General</c:formatCode>
                <c:ptCount val="9"/>
                <c:pt idx="7">
                  <c:v>50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Tablolar!$U$3:$U$4</c:f>
              <c:strCache>
                <c:ptCount val="1"/>
                <c:pt idx="0">
                  <c:v>Nova 10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Tablolar!$H$5:$H$14</c:f>
              <c:strCache>
                <c:ptCount val="9"/>
                <c:pt idx="0">
                  <c:v>Antalya</c:v>
                </c:pt>
                <c:pt idx="1">
                  <c:v>İstanbul</c:v>
                </c:pt>
                <c:pt idx="2">
                  <c:v>İzmir</c:v>
                </c:pt>
                <c:pt idx="3">
                  <c:v>Ankara</c:v>
                </c:pt>
                <c:pt idx="4">
                  <c:v>Aydın</c:v>
                </c:pt>
                <c:pt idx="5">
                  <c:v>Bursa</c:v>
                </c:pt>
                <c:pt idx="6">
                  <c:v>Mersin</c:v>
                </c:pt>
                <c:pt idx="7">
                  <c:v>Muğla</c:v>
                </c:pt>
                <c:pt idx="8">
                  <c:v>Manisa</c:v>
                </c:pt>
              </c:strCache>
            </c:strRef>
          </c:cat>
          <c:val>
            <c:numRef>
              <c:f>Tablolar!$U$5:$U$14</c:f>
              <c:numCache>
                <c:formatCode>General</c:formatCode>
                <c:ptCount val="9"/>
                <c:pt idx="6">
                  <c:v>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06256"/>
        <c:axId val="10205712"/>
      </c:lineChart>
      <c:catAx>
        <c:axId val="1020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205712"/>
        <c:crosses val="autoZero"/>
        <c:auto val="1"/>
        <c:lblAlgn val="ctr"/>
        <c:lblOffset val="100"/>
        <c:noMultiLvlLbl val="0"/>
      </c:catAx>
      <c:valAx>
        <c:axId val="1020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206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[StokKayıt.xlsb.xlsm]Tablolar!PivotTable8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>
                <a:solidFill>
                  <a:schemeClr val="accent3">
                    <a:lumMod val="40000"/>
                    <a:lumOff val="60000"/>
                  </a:schemeClr>
                </a:solidFill>
              </a:rPr>
              <a:t>Marka</a:t>
            </a:r>
            <a:r>
              <a:rPr lang="tr-TR" baseline="0">
                <a:solidFill>
                  <a:schemeClr val="accent3">
                    <a:lumMod val="40000"/>
                    <a:lumOff val="60000"/>
                  </a:schemeClr>
                </a:solidFill>
              </a:rPr>
              <a:t> Dağılımı</a:t>
            </a:r>
            <a:endParaRPr lang="en-US">
              <a:solidFill>
                <a:schemeClr val="accent3">
                  <a:lumMod val="40000"/>
                  <a:lumOff val="6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3">
              <a:shade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3">
              <a:shade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3">
              <a:tint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3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3">
              <a:shade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3">
              <a:shade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3">
              <a:tint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3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3">
              <a:shade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3">
              <a:shade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3">
              <a:tint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3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3">
              <a:tint val="54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3">
              <a:tint val="54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3">
              <a:tint val="54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Tablolar!$W$3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Tablolar!$V$4:$V$9</c:f>
              <c:strCache>
                <c:ptCount val="5"/>
                <c:pt idx="0">
                  <c:v>Apple</c:v>
                </c:pt>
                <c:pt idx="1">
                  <c:v>Oppo</c:v>
                </c:pt>
                <c:pt idx="2">
                  <c:v>Samsung</c:v>
                </c:pt>
                <c:pt idx="3">
                  <c:v>Xiaomi</c:v>
                </c:pt>
                <c:pt idx="4">
                  <c:v>Huawei</c:v>
                </c:pt>
              </c:strCache>
            </c:strRef>
          </c:cat>
          <c:val>
            <c:numRef>
              <c:f>Tablolar!$W$4:$W$9</c:f>
              <c:numCache>
                <c:formatCode>General</c:formatCode>
                <c:ptCount val="5"/>
                <c:pt idx="0">
                  <c:v>3927300</c:v>
                </c:pt>
                <c:pt idx="1">
                  <c:v>1663000</c:v>
                </c:pt>
                <c:pt idx="2">
                  <c:v>1558238</c:v>
                </c:pt>
                <c:pt idx="3">
                  <c:v>581800</c:v>
                </c:pt>
                <c:pt idx="4">
                  <c:v>680000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863101487314084"/>
          <c:y val="0.89409667541557303"/>
          <c:w val="0.50718241469816272"/>
          <c:h val="7.8125546806649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image" Target="../media/image10.svg"/><Relationship Id="rId18" Type="http://schemas.openxmlformats.org/officeDocument/2006/relationships/image" Target="../media/image7.emf"/><Relationship Id="rId3" Type="http://schemas.openxmlformats.org/officeDocument/2006/relationships/hyperlink" Target="#Personeller!A1"/><Relationship Id="rId7" Type="http://schemas.openxmlformats.org/officeDocument/2006/relationships/image" Target="../media/image4.svg"/><Relationship Id="rId12" Type="http://schemas.openxmlformats.org/officeDocument/2006/relationships/image" Target="../media/image5.png"/><Relationship Id="rId17" Type="http://schemas.openxmlformats.org/officeDocument/2006/relationships/chart" Target="../charts/chart2.xml"/><Relationship Id="rId2" Type="http://schemas.openxmlformats.org/officeDocument/2006/relationships/hyperlink" Target="#Sat&#305;&#351;lar!A1"/><Relationship Id="rId16" Type="http://schemas.openxmlformats.org/officeDocument/2006/relationships/chart" Target="../charts/chart1.xml"/><Relationship Id="rId1" Type="http://schemas.openxmlformats.org/officeDocument/2006/relationships/hyperlink" Target="#&#220;r&#252;nler!A1"/><Relationship Id="rId6" Type="http://schemas.openxmlformats.org/officeDocument/2006/relationships/image" Target="../media/image2.png"/><Relationship Id="rId11" Type="http://schemas.openxmlformats.org/officeDocument/2006/relationships/image" Target="../media/image8.svg"/><Relationship Id="rId5" Type="http://schemas.openxmlformats.org/officeDocument/2006/relationships/image" Target="../media/image2.svg"/><Relationship Id="rId15" Type="http://schemas.openxmlformats.org/officeDocument/2006/relationships/image" Target="../media/image12.svg"/><Relationship Id="rId10" Type="http://schemas.openxmlformats.org/officeDocument/2006/relationships/image" Target="../media/image4.png"/><Relationship Id="rId19" Type="http://schemas.openxmlformats.org/officeDocument/2006/relationships/chart" Target="../charts/chart3.xml"/><Relationship Id="rId4" Type="http://schemas.openxmlformats.org/officeDocument/2006/relationships/image" Target="../media/image1.png"/><Relationship Id="rId9" Type="http://schemas.openxmlformats.org/officeDocument/2006/relationships/image" Target="../media/image6.svg"/><Relationship Id="rId14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0.svg"/><Relationship Id="rId3" Type="http://schemas.openxmlformats.org/officeDocument/2006/relationships/hyperlink" Target="#Personeller!A1"/><Relationship Id="rId7" Type="http://schemas.openxmlformats.org/officeDocument/2006/relationships/image" Target="../media/image14.svg"/><Relationship Id="rId12" Type="http://schemas.openxmlformats.org/officeDocument/2006/relationships/image" Target="../media/image9.png"/><Relationship Id="rId2" Type="http://schemas.openxmlformats.org/officeDocument/2006/relationships/hyperlink" Target="#Sat&#305;&#351;lar!A1"/><Relationship Id="rId1" Type="http://schemas.openxmlformats.org/officeDocument/2006/relationships/hyperlink" Target="#Genel_Durum!A1"/><Relationship Id="rId6" Type="http://schemas.openxmlformats.org/officeDocument/2006/relationships/image" Target="../media/image2.png"/><Relationship Id="rId11" Type="http://schemas.openxmlformats.org/officeDocument/2006/relationships/image" Target="../media/image8.svg"/><Relationship Id="rId5" Type="http://schemas.openxmlformats.org/officeDocument/2006/relationships/image" Target="../media/image15.svg"/><Relationship Id="rId15" Type="http://schemas.openxmlformats.org/officeDocument/2006/relationships/image" Target="../media/image12.svg"/><Relationship Id="rId10" Type="http://schemas.openxmlformats.org/officeDocument/2006/relationships/image" Target="../media/image4.png"/><Relationship Id="rId4" Type="http://schemas.openxmlformats.org/officeDocument/2006/relationships/image" Target="../media/image1.png"/><Relationship Id="rId9" Type="http://schemas.openxmlformats.org/officeDocument/2006/relationships/image" Target="../media/image6.svg"/><Relationship Id="rId1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15.svg"/><Relationship Id="rId3" Type="http://schemas.openxmlformats.org/officeDocument/2006/relationships/hyperlink" Target="#Personeller!A1"/><Relationship Id="rId7" Type="http://schemas.openxmlformats.org/officeDocument/2006/relationships/image" Target="../media/image6.svg"/><Relationship Id="rId12" Type="http://schemas.openxmlformats.org/officeDocument/2006/relationships/image" Target="../media/image10.png"/><Relationship Id="rId2" Type="http://schemas.openxmlformats.org/officeDocument/2006/relationships/hyperlink" Target="#&#220;r&#252;nler!A1"/><Relationship Id="rId1" Type="http://schemas.openxmlformats.org/officeDocument/2006/relationships/hyperlink" Target="#Genel_Durum!A1"/><Relationship Id="rId6" Type="http://schemas.openxmlformats.org/officeDocument/2006/relationships/image" Target="../media/image8.png"/><Relationship Id="rId11" Type="http://schemas.openxmlformats.org/officeDocument/2006/relationships/image" Target="../media/image10.svg"/><Relationship Id="rId5" Type="http://schemas.openxmlformats.org/officeDocument/2006/relationships/image" Target="../media/image14.svg"/><Relationship Id="rId15" Type="http://schemas.openxmlformats.org/officeDocument/2006/relationships/image" Target="../media/image12.svg"/><Relationship Id="rId10" Type="http://schemas.openxmlformats.org/officeDocument/2006/relationships/image" Target="../media/image9.png"/><Relationship Id="rId4" Type="http://schemas.openxmlformats.org/officeDocument/2006/relationships/image" Target="../media/image2.png"/><Relationship Id="rId9" Type="http://schemas.openxmlformats.org/officeDocument/2006/relationships/image" Target="../media/image8.svg"/><Relationship Id="rId1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10.svg"/><Relationship Id="rId3" Type="http://schemas.openxmlformats.org/officeDocument/2006/relationships/image" Target="../media/image17.svg"/><Relationship Id="rId7" Type="http://schemas.openxmlformats.org/officeDocument/2006/relationships/image" Target="../media/image12.png"/><Relationship Id="rId12" Type="http://schemas.openxmlformats.org/officeDocument/2006/relationships/image" Target="../media/image14.png"/><Relationship Id="rId2" Type="http://schemas.openxmlformats.org/officeDocument/2006/relationships/image" Target="../media/image11.png"/><Relationship Id="rId1" Type="http://schemas.openxmlformats.org/officeDocument/2006/relationships/hyperlink" Target="#Genel_Durum!A1"/><Relationship Id="rId6" Type="http://schemas.openxmlformats.org/officeDocument/2006/relationships/hyperlink" Target="#&#220;r&#252;nler!A1"/><Relationship Id="rId11" Type="http://schemas.openxmlformats.org/officeDocument/2006/relationships/image" Target="../media/image8.svg"/><Relationship Id="rId5" Type="http://schemas.openxmlformats.org/officeDocument/2006/relationships/image" Target="../media/image14.svg"/><Relationship Id="rId15" Type="http://schemas.openxmlformats.org/officeDocument/2006/relationships/image" Target="../media/image12.svg"/><Relationship Id="rId10" Type="http://schemas.openxmlformats.org/officeDocument/2006/relationships/image" Target="../media/image13.png"/><Relationship Id="rId4" Type="http://schemas.openxmlformats.org/officeDocument/2006/relationships/image" Target="../media/image2.png"/><Relationship Id="rId9" Type="http://schemas.openxmlformats.org/officeDocument/2006/relationships/hyperlink" Target="#Sat&#305;&#351;lar!A1"/><Relationship Id="rId1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104775</xdr:colOff>
      <xdr:row>1</xdr:row>
      <xdr:rowOff>293502</xdr:rowOff>
    </xdr:from>
    <xdr:to>
      <xdr:col>45</xdr:col>
      <xdr:colOff>209550</xdr:colOff>
      <xdr:row>11</xdr:row>
      <xdr:rowOff>83642</xdr:rowOff>
    </xdr:to>
    <xdr:sp macro="" textlink="">
      <xdr:nvSpPr>
        <xdr:cNvPr id="3" name="Yuvarlatılmış Dikdörtgen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8077200" y="598302"/>
          <a:ext cx="8429625" cy="283814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6</xdr:col>
      <xdr:colOff>347133</xdr:colOff>
      <xdr:row>5</xdr:row>
      <xdr:rowOff>296334</xdr:rowOff>
    </xdr:to>
    <xdr:sp macro="" textlink="">
      <xdr:nvSpPr>
        <xdr:cNvPr id="6" name="Dikdörtgen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1219200"/>
          <a:ext cx="2540000" cy="601134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140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GENEL  DURUM</a:t>
          </a:r>
        </a:p>
      </xdr:txBody>
    </xdr:sp>
    <xdr:clientData/>
  </xdr:twoCellAnchor>
  <xdr:twoCellAnchor>
    <xdr:from>
      <xdr:col>0</xdr:col>
      <xdr:colOff>0</xdr:colOff>
      <xdr:row>7</xdr:row>
      <xdr:rowOff>16933</xdr:rowOff>
    </xdr:from>
    <xdr:to>
      <xdr:col>6</xdr:col>
      <xdr:colOff>347133</xdr:colOff>
      <xdr:row>9</xdr:row>
      <xdr:rowOff>8467</xdr:rowOff>
    </xdr:to>
    <xdr:sp macro="" textlink="">
      <xdr:nvSpPr>
        <xdr:cNvPr id="7" name="Dikdörtgen 6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0" y="2150533"/>
          <a:ext cx="2540000" cy="601134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140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ÜRÜNLER</a:t>
          </a:r>
        </a:p>
      </xdr:txBody>
    </xdr:sp>
    <xdr:clientData/>
  </xdr:twoCellAnchor>
  <xdr:twoCellAnchor>
    <xdr:from>
      <xdr:col>0</xdr:col>
      <xdr:colOff>0</xdr:colOff>
      <xdr:row>10</xdr:row>
      <xdr:rowOff>7408</xdr:rowOff>
    </xdr:from>
    <xdr:to>
      <xdr:col>6</xdr:col>
      <xdr:colOff>347133</xdr:colOff>
      <xdr:row>11</xdr:row>
      <xdr:rowOff>303742</xdr:rowOff>
    </xdr:to>
    <xdr:sp macro="" textlink="">
      <xdr:nvSpPr>
        <xdr:cNvPr id="8" name="Dikdörtgen 7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0" y="3055408"/>
          <a:ext cx="2471208" cy="601134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140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SATIŞLAR</a:t>
          </a:r>
        </a:p>
      </xdr:txBody>
    </xdr:sp>
    <xdr:clientData/>
  </xdr:twoCellAnchor>
  <xdr:twoCellAnchor>
    <xdr:from>
      <xdr:col>0</xdr:col>
      <xdr:colOff>0</xdr:colOff>
      <xdr:row>12</xdr:row>
      <xdr:rowOff>296333</xdr:rowOff>
    </xdr:from>
    <xdr:to>
      <xdr:col>6</xdr:col>
      <xdr:colOff>347133</xdr:colOff>
      <xdr:row>14</xdr:row>
      <xdr:rowOff>287867</xdr:rowOff>
    </xdr:to>
    <xdr:sp macro="" textlink="">
      <xdr:nvSpPr>
        <xdr:cNvPr id="9" name="Dikdörtgen 8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0" y="3953933"/>
          <a:ext cx="2471208" cy="601134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140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PERSONELLER</a:t>
          </a:r>
        </a:p>
      </xdr:txBody>
    </xdr:sp>
    <xdr:clientData/>
  </xdr:twoCellAnchor>
  <xdr:twoCellAnchor>
    <xdr:from>
      <xdr:col>9</xdr:col>
      <xdr:colOff>0</xdr:colOff>
      <xdr:row>2</xdr:row>
      <xdr:rowOff>9525</xdr:rowOff>
    </xdr:from>
    <xdr:to>
      <xdr:col>20</xdr:col>
      <xdr:colOff>28575</xdr:colOff>
      <xdr:row>11</xdr:row>
      <xdr:rowOff>85725</xdr:rowOff>
    </xdr:to>
    <xdr:sp macro="" textlink="">
      <xdr:nvSpPr>
        <xdr:cNvPr id="2" name="Yuvarlatılmış Dikdörtgen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3181350" y="619125"/>
          <a:ext cx="3905250" cy="28194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accent3">
                <a:lumMod val="20000"/>
                <a:lumOff val="80000"/>
              </a:schemeClr>
            </a:solidFill>
          </a:endParaRPr>
        </a:p>
      </xdr:txBody>
    </xdr:sp>
    <xdr:clientData/>
  </xdr:twoCellAnchor>
  <xdr:twoCellAnchor editAs="oneCell">
    <xdr:from>
      <xdr:col>0</xdr:col>
      <xdr:colOff>9525</xdr:colOff>
      <xdr:row>0</xdr:row>
      <xdr:rowOff>152400</xdr:rowOff>
    </xdr:from>
    <xdr:to>
      <xdr:col>2</xdr:col>
      <xdr:colOff>209550</xdr:colOff>
      <xdr:row>3</xdr:row>
      <xdr:rowOff>152400</xdr:rowOff>
    </xdr:to>
    <xdr:pic>
      <xdr:nvPicPr>
        <xdr:cNvPr id="22" name="Grafik 21" descr="QR Kodu düz dolguyla">
          <a:extLst>
            <a:ext uri="{FF2B5EF4-FFF2-40B4-BE49-F238E27FC236}">
              <a16:creationId xmlns="" xmlns:a16="http://schemas.microsoft.com/office/drawing/2014/main" id="{1D263E7E-CAA5-4743-BE40-E4623F6401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525" y="152400"/>
          <a:ext cx="914400" cy="914400"/>
        </a:xfrm>
        <a:prstGeom prst="rect">
          <a:avLst/>
        </a:prstGeom>
      </xdr:spPr>
    </xdr:pic>
    <xdr:clientData/>
  </xdr:twoCellAnchor>
  <xdr:twoCellAnchor>
    <xdr:from>
      <xdr:col>2</xdr:col>
      <xdr:colOff>171450</xdr:colOff>
      <xdr:row>0</xdr:row>
      <xdr:rowOff>257175</xdr:rowOff>
    </xdr:from>
    <xdr:to>
      <xdr:col>6</xdr:col>
      <xdr:colOff>285750</xdr:colOff>
      <xdr:row>3</xdr:row>
      <xdr:rowOff>76200</xdr:rowOff>
    </xdr:to>
    <xdr:sp macro="" textlink="">
      <xdr:nvSpPr>
        <xdr:cNvPr id="23" name="Oval 22">
          <a:extLst>
            <a:ext uri="{FF2B5EF4-FFF2-40B4-BE49-F238E27FC236}">
              <a16:creationId xmlns="" xmlns:a16="http://schemas.microsoft.com/office/drawing/2014/main" id="{24CD5BEA-2FD8-433E-9F98-229AFA839835}"/>
            </a:ext>
          </a:extLst>
        </xdr:cNvPr>
        <xdr:cNvSpPr/>
      </xdr:nvSpPr>
      <xdr:spPr>
        <a:xfrm>
          <a:off x="885825" y="257175"/>
          <a:ext cx="1524000" cy="733425"/>
        </a:xfrm>
        <a:prstGeom prst="ellipse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A4BE7B"/>
              </a:solidFill>
              <a:latin typeface="Congenial" panose="02000503040000020004" pitchFamily="2" charset="0"/>
            </a:rPr>
            <a:t>STOK TAKİP</a:t>
          </a:r>
        </a:p>
        <a:p>
          <a:pPr algn="ctr"/>
          <a:r>
            <a:rPr lang="tr-TR" sz="1100" b="1">
              <a:solidFill>
                <a:srgbClr val="A4BE7B"/>
              </a:solidFill>
              <a:latin typeface="Congenial" panose="02000503040000020004" pitchFamily="2" charset="0"/>
            </a:rPr>
            <a:t>PROGRAMI</a:t>
          </a:r>
        </a:p>
      </xdr:txBody>
    </xdr:sp>
    <xdr:clientData/>
  </xdr:twoCellAnchor>
  <xdr:twoCellAnchor editAs="oneCell">
    <xdr:from>
      <xdr:col>5</xdr:col>
      <xdr:colOff>152400</xdr:colOff>
      <xdr:row>4</xdr:row>
      <xdr:rowOff>38100</xdr:rowOff>
    </xdr:from>
    <xdr:to>
      <xdr:col>6</xdr:col>
      <xdr:colOff>333375</xdr:colOff>
      <xdr:row>5</xdr:row>
      <xdr:rowOff>266700</xdr:rowOff>
    </xdr:to>
    <xdr:pic>
      <xdr:nvPicPr>
        <xdr:cNvPr id="25" name="Grafik 24" descr="Sunu çubuk grafiği  düz dolguyla">
          <a:extLst>
            <a:ext uri="{FF2B5EF4-FFF2-40B4-BE49-F238E27FC236}">
              <a16:creationId xmlns="" xmlns:a16="http://schemas.microsoft.com/office/drawing/2014/main" id="{A9436F62-D211-37A6-C7A2-0DF68339C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924050" y="1257300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123825</xdr:colOff>
      <xdr:row>7</xdr:row>
      <xdr:rowOff>9525</xdr:rowOff>
    </xdr:from>
    <xdr:to>
      <xdr:col>6</xdr:col>
      <xdr:colOff>342899</xdr:colOff>
      <xdr:row>8</xdr:row>
      <xdr:rowOff>276224</xdr:rowOff>
    </xdr:to>
    <xdr:pic>
      <xdr:nvPicPr>
        <xdr:cNvPr id="27" name="Grafik 26" descr="Envanter düz dolguyla">
          <a:extLst>
            <a:ext uri="{FF2B5EF4-FFF2-40B4-BE49-F238E27FC236}">
              <a16:creationId xmlns="" xmlns:a16="http://schemas.microsoft.com/office/drawing/2014/main" id="{3C3A3635-F03F-7EA7-644F-CC86A54D5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895475" y="2143125"/>
          <a:ext cx="571499" cy="571499"/>
        </a:xfrm>
        <a:prstGeom prst="rect">
          <a:avLst/>
        </a:prstGeom>
      </xdr:spPr>
    </xdr:pic>
    <xdr:clientData/>
  </xdr:twoCellAnchor>
  <xdr:twoCellAnchor editAs="oneCell">
    <xdr:from>
      <xdr:col>5</xdr:col>
      <xdr:colOff>114300</xdr:colOff>
      <xdr:row>10</xdr:row>
      <xdr:rowOff>19050</xdr:rowOff>
    </xdr:from>
    <xdr:to>
      <xdr:col>6</xdr:col>
      <xdr:colOff>295275</xdr:colOff>
      <xdr:row>11</xdr:row>
      <xdr:rowOff>247650</xdr:rowOff>
    </xdr:to>
    <xdr:pic>
      <xdr:nvPicPr>
        <xdr:cNvPr id="29" name="Grafik 28" descr="Yazarkasa düz dolguyla">
          <a:extLst>
            <a:ext uri="{FF2B5EF4-FFF2-40B4-BE49-F238E27FC236}">
              <a16:creationId xmlns="" xmlns:a16="http://schemas.microsoft.com/office/drawing/2014/main" id="{06EB3D93-80F4-41AD-5D82-590F2F890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885950" y="3067050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12</xdr:row>
      <xdr:rowOff>295275</xdr:rowOff>
    </xdr:from>
    <xdr:to>
      <xdr:col>6</xdr:col>
      <xdr:colOff>285750</xdr:colOff>
      <xdr:row>14</xdr:row>
      <xdr:rowOff>247650</xdr:rowOff>
    </xdr:to>
    <xdr:pic>
      <xdr:nvPicPr>
        <xdr:cNvPr id="31" name="Grafik 30" descr="Bir grup kadın düz dolguyla">
          <a:extLst>
            <a:ext uri="{FF2B5EF4-FFF2-40B4-BE49-F238E27FC236}">
              <a16:creationId xmlns="" xmlns:a16="http://schemas.microsoft.com/office/drawing/2014/main" id="{3F331783-B1DA-FDEF-9454-4CCAAB996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847850" y="3952875"/>
          <a:ext cx="561975" cy="56197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20</xdr:row>
      <xdr:rowOff>28575</xdr:rowOff>
    </xdr:from>
    <xdr:to>
      <xdr:col>6</xdr:col>
      <xdr:colOff>347133</xdr:colOff>
      <xdr:row>22</xdr:row>
      <xdr:rowOff>20109</xdr:rowOff>
    </xdr:to>
    <xdr:grpSp>
      <xdr:nvGrpSpPr>
        <xdr:cNvPr id="21" name="Grup 20">
          <a:extLst>
            <a:ext uri="{FF2B5EF4-FFF2-40B4-BE49-F238E27FC236}">
              <a16:creationId xmlns="" xmlns:a16="http://schemas.microsoft.com/office/drawing/2014/main" id="{F2B8B96F-65C7-4992-80B9-372058C96B8B}"/>
            </a:ext>
          </a:extLst>
        </xdr:cNvPr>
        <xdr:cNvGrpSpPr/>
      </xdr:nvGrpSpPr>
      <xdr:grpSpPr>
        <a:xfrm>
          <a:off x="0" y="6124575"/>
          <a:ext cx="2528358" cy="601134"/>
          <a:chOff x="0" y="6116108"/>
          <a:chExt cx="2471208" cy="601134"/>
        </a:xfrm>
      </xdr:grpSpPr>
      <xdr:sp macro="[0]!cikis" textlink="">
        <xdr:nvSpPr>
          <xdr:cNvPr id="24" name="Dikdörtgen 23">
            <a:extLst>
              <a:ext uri="{FF2B5EF4-FFF2-40B4-BE49-F238E27FC236}">
                <a16:creationId xmlns="" xmlns:a16="http://schemas.microsoft.com/office/drawing/2014/main" id="{E8C587DE-6095-1B60-14C2-7D785C6421AC}"/>
              </a:ext>
            </a:extLst>
          </xdr:cNvPr>
          <xdr:cNvSpPr/>
        </xdr:nvSpPr>
        <xdr:spPr>
          <a:xfrm>
            <a:off x="0" y="6116108"/>
            <a:ext cx="2471208" cy="601134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tx1">
                <a:lumMod val="85000"/>
                <a:lumOff val="1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tr-TR" sz="1400">
                <a:solidFill>
                  <a:schemeClr val="accent3">
                    <a:lumMod val="20000"/>
                    <a:lumOff val="80000"/>
                  </a:schemeClr>
                </a:solidFill>
                <a:latin typeface="Congenial" panose="02000503040000020004" pitchFamily="2" charset="0"/>
              </a:rPr>
              <a:t>ÇIKIŞ</a:t>
            </a:r>
          </a:p>
        </xdr:txBody>
      </xdr:sp>
      <xdr:pic macro="[0]!cikis">
        <xdr:nvPicPr>
          <xdr:cNvPr id="28" name="Grafik 27" descr="Çıkış düz dolguyla">
            <a:extLst>
              <a:ext uri="{FF2B5EF4-FFF2-40B4-BE49-F238E27FC236}">
                <a16:creationId xmlns="" xmlns:a16="http://schemas.microsoft.com/office/drawing/2014/main" id="{37B9DF33-E0B5-C65E-8C0F-6999727F38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905000" y="6162675"/>
            <a:ext cx="466725" cy="46672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0</xdr:colOff>
      <xdr:row>12</xdr:row>
      <xdr:rowOff>209860</xdr:rowOff>
    </xdr:from>
    <xdr:to>
      <xdr:col>32</xdr:col>
      <xdr:colOff>104775</xdr:colOff>
      <xdr:row>22</xdr:row>
      <xdr:rowOff>0</xdr:rowOff>
    </xdr:to>
    <xdr:sp macro="" textlink="">
      <xdr:nvSpPr>
        <xdr:cNvPr id="32" name="Yuvarlatılmış Dikdörtgen 2">
          <a:extLst>
            <a:ext uri="{FF2B5EF4-FFF2-40B4-BE49-F238E27FC236}">
              <a16:creationId xmlns="" xmlns:a16="http://schemas.microsoft.com/office/drawing/2014/main" id="{118F923C-24E0-C564-E1DE-4CDF5E1B8DC8}"/>
            </a:ext>
          </a:extLst>
        </xdr:cNvPr>
        <xdr:cNvSpPr/>
      </xdr:nvSpPr>
      <xdr:spPr>
        <a:xfrm>
          <a:off x="3267075" y="3867460"/>
          <a:ext cx="8429625" cy="283814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34</xdr:col>
      <xdr:colOff>314325</xdr:colOff>
      <xdr:row>12</xdr:row>
      <xdr:rowOff>228600</xdr:rowOff>
    </xdr:from>
    <xdr:to>
      <xdr:col>45</xdr:col>
      <xdr:colOff>342900</xdr:colOff>
      <xdr:row>22</xdr:row>
      <xdr:rowOff>0</xdr:rowOff>
    </xdr:to>
    <xdr:sp macro="" textlink="">
      <xdr:nvSpPr>
        <xdr:cNvPr id="33" name="Yuvarlatılmış Dikdörtgen 1">
          <a:extLst>
            <a:ext uri="{FF2B5EF4-FFF2-40B4-BE49-F238E27FC236}">
              <a16:creationId xmlns="" xmlns:a16="http://schemas.microsoft.com/office/drawing/2014/main" id="{EF80417A-8611-466C-6D66-C854B52C6F71}"/>
            </a:ext>
          </a:extLst>
        </xdr:cNvPr>
        <xdr:cNvSpPr/>
      </xdr:nvSpPr>
      <xdr:spPr>
        <a:xfrm>
          <a:off x="12630150" y="3886200"/>
          <a:ext cx="4010025" cy="28194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accent3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10</xdr:col>
      <xdr:colOff>133350</xdr:colOff>
      <xdr:row>3</xdr:row>
      <xdr:rowOff>133350</xdr:rowOff>
    </xdr:from>
    <xdr:to>
      <xdr:col>16</xdr:col>
      <xdr:colOff>190500</xdr:colOff>
      <xdr:row>4</xdr:row>
      <xdr:rowOff>266700</xdr:rowOff>
    </xdr:to>
    <xdr:sp macro="" textlink="">
      <xdr:nvSpPr>
        <xdr:cNvPr id="4" name="Metin kutusu 3"/>
        <xdr:cNvSpPr txBox="1"/>
      </xdr:nvSpPr>
      <xdr:spPr>
        <a:xfrm>
          <a:off x="3762375" y="1047750"/>
          <a:ext cx="222885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2400">
              <a:solidFill>
                <a:schemeClr val="accent3">
                  <a:lumMod val="20000"/>
                  <a:lumOff val="80000"/>
                </a:schemeClr>
              </a:solidFill>
              <a:latin typeface="Bahnschrift Light Condensed" panose="020B0502040204020203" pitchFamily="34" charset="0"/>
            </a:rPr>
            <a:t>Toplam</a:t>
          </a:r>
          <a:r>
            <a:rPr lang="tr-TR" sz="2400" baseline="0">
              <a:solidFill>
                <a:schemeClr val="accent3">
                  <a:lumMod val="20000"/>
                  <a:lumOff val="80000"/>
                </a:schemeClr>
              </a:solidFill>
              <a:latin typeface="Bahnschrift Light Condensed" panose="020B0502040204020203" pitchFamily="34" charset="0"/>
            </a:rPr>
            <a:t> Ciro</a:t>
          </a:r>
          <a:endParaRPr lang="tr-TR" sz="2400">
            <a:solidFill>
              <a:schemeClr val="accent3">
                <a:lumMod val="20000"/>
                <a:lumOff val="80000"/>
              </a:schemeClr>
            </a:solidFill>
            <a:latin typeface="Bahnschrift Light Condensed" panose="020B0502040204020203" pitchFamily="34" charset="0"/>
          </a:endParaRPr>
        </a:p>
      </xdr:txBody>
    </xdr:sp>
    <xdr:clientData/>
  </xdr:twoCellAnchor>
  <xdr:twoCellAnchor>
    <xdr:from>
      <xdr:col>10</xdr:col>
      <xdr:colOff>114300</xdr:colOff>
      <xdr:row>4</xdr:row>
      <xdr:rowOff>257174</xdr:rowOff>
    </xdr:from>
    <xdr:to>
      <xdr:col>17</xdr:col>
      <xdr:colOff>180975</xdr:colOff>
      <xdr:row>6</xdr:row>
      <xdr:rowOff>114299</xdr:rowOff>
    </xdr:to>
    <xdr:sp macro="" textlink="Tablolar!E3">
      <xdr:nvSpPr>
        <xdr:cNvPr id="26" name="Metin kutusu 25"/>
        <xdr:cNvSpPr txBox="1"/>
      </xdr:nvSpPr>
      <xdr:spPr>
        <a:xfrm>
          <a:off x="3743325" y="1476374"/>
          <a:ext cx="2600325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3E47254-71B9-48DF-85CD-CC0D957BE615}" type="TxLink">
            <a:rPr lang="en-US" sz="2800" b="0" i="0" u="none" strike="noStrike">
              <a:solidFill>
                <a:schemeClr val="accent3">
                  <a:lumMod val="40000"/>
                  <a:lumOff val="60000"/>
                </a:schemeClr>
              </a:solidFill>
              <a:latin typeface="Bahnschrift Light Condensed" panose="020B0502040204020203" pitchFamily="34" charset="0"/>
              <a:cs typeface="Calibri"/>
            </a:rPr>
            <a:pPr/>
            <a:t>₺8.410.338,0</a:t>
          </a:fld>
          <a:endParaRPr lang="en-US" sz="2800">
            <a:solidFill>
              <a:schemeClr val="accent3">
                <a:lumMod val="40000"/>
                <a:lumOff val="60000"/>
              </a:schemeClr>
            </a:solidFill>
            <a:latin typeface="Bahnschrift Light Condensed" panose="020B0502040204020203" pitchFamily="34" charset="0"/>
          </a:endParaRPr>
        </a:p>
      </xdr:txBody>
    </xdr:sp>
    <xdr:clientData/>
  </xdr:twoCellAnchor>
  <xdr:twoCellAnchor>
    <xdr:from>
      <xdr:col>10</xdr:col>
      <xdr:colOff>104774</xdr:colOff>
      <xdr:row>6</xdr:row>
      <xdr:rowOff>219074</xdr:rowOff>
    </xdr:from>
    <xdr:to>
      <xdr:col>16</xdr:col>
      <xdr:colOff>76199</xdr:colOff>
      <xdr:row>8</xdr:row>
      <xdr:rowOff>57149</xdr:rowOff>
    </xdr:to>
    <xdr:sp macro="" textlink="">
      <xdr:nvSpPr>
        <xdr:cNvPr id="30" name="Metin kutusu 29"/>
        <xdr:cNvSpPr txBox="1"/>
      </xdr:nvSpPr>
      <xdr:spPr>
        <a:xfrm>
          <a:off x="3733799" y="2047874"/>
          <a:ext cx="2143125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2400">
              <a:solidFill>
                <a:schemeClr val="accent3">
                  <a:lumMod val="20000"/>
                  <a:lumOff val="80000"/>
                </a:schemeClr>
              </a:solidFill>
              <a:latin typeface="Bahnschrift Light Condensed" panose="020B0502040204020203" pitchFamily="34" charset="0"/>
            </a:rPr>
            <a:t>Toplam satış</a:t>
          </a:r>
        </a:p>
      </xdr:txBody>
    </xdr:sp>
    <xdr:clientData/>
  </xdr:twoCellAnchor>
  <xdr:twoCellAnchor>
    <xdr:from>
      <xdr:col>10</xdr:col>
      <xdr:colOff>209550</xdr:colOff>
      <xdr:row>8</xdr:row>
      <xdr:rowOff>95249</xdr:rowOff>
    </xdr:from>
    <xdr:to>
      <xdr:col>14</xdr:col>
      <xdr:colOff>152400</xdr:colOff>
      <xdr:row>9</xdr:row>
      <xdr:rowOff>266700</xdr:rowOff>
    </xdr:to>
    <xdr:sp macro="" textlink="Tablolar!E4">
      <xdr:nvSpPr>
        <xdr:cNvPr id="34" name="Metin kutusu 33"/>
        <xdr:cNvSpPr txBox="1"/>
      </xdr:nvSpPr>
      <xdr:spPr>
        <a:xfrm>
          <a:off x="3838575" y="2533649"/>
          <a:ext cx="1390650" cy="476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314E361-7903-4182-A921-FC3F4DB9D7BF}" type="TxLink">
            <a:rPr lang="en-US" sz="2800" b="0" i="0" u="none" strike="noStrike">
              <a:solidFill>
                <a:srgbClr val="D8E4BC"/>
              </a:solidFill>
              <a:latin typeface="Calibri"/>
              <a:cs typeface="Calibri"/>
            </a:rPr>
            <a:pPr/>
            <a:t>501</a:t>
          </a:fld>
          <a:endParaRPr lang="tr-TR" sz="2800">
            <a:solidFill>
              <a:schemeClr val="accent3">
                <a:lumMod val="40000"/>
                <a:lumOff val="60000"/>
              </a:schemeClr>
            </a:solidFill>
            <a:latin typeface="Bahnschrift Light Condensed" panose="020B0502040204020203" pitchFamily="34" charset="0"/>
          </a:endParaRPr>
        </a:p>
      </xdr:txBody>
    </xdr:sp>
    <xdr:clientData/>
  </xdr:twoCellAnchor>
  <xdr:twoCellAnchor>
    <xdr:from>
      <xdr:col>23</xdr:col>
      <xdr:colOff>19050</xdr:colOff>
      <xdr:row>13</xdr:row>
      <xdr:rowOff>85725</xdr:rowOff>
    </xdr:from>
    <xdr:to>
      <xdr:col>29</xdr:col>
      <xdr:colOff>247650</xdr:colOff>
      <xdr:row>14</xdr:row>
      <xdr:rowOff>180975</xdr:rowOff>
    </xdr:to>
    <xdr:sp macro="" textlink="">
      <xdr:nvSpPr>
        <xdr:cNvPr id="5" name="Metin kutusu 4"/>
        <xdr:cNvSpPr txBox="1"/>
      </xdr:nvSpPr>
      <xdr:spPr>
        <a:xfrm>
          <a:off x="8353425" y="4048125"/>
          <a:ext cx="2400300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600">
              <a:solidFill>
                <a:schemeClr val="accent3">
                  <a:lumMod val="20000"/>
                  <a:lumOff val="80000"/>
                </a:schemeClr>
              </a:solidFill>
              <a:latin typeface="Bahnschrift Light Condensed" panose="020B0502040204020203" pitchFamily="34" charset="0"/>
            </a:rPr>
            <a:t>En Çok Satan 3 Model</a:t>
          </a:r>
        </a:p>
      </xdr:txBody>
    </xdr:sp>
    <xdr:clientData/>
  </xdr:twoCellAnchor>
  <xdr:twoCellAnchor>
    <xdr:from>
      <xdr:col>22</xdr:col>
      <xdr:colOff>209549</xdr:colOff>
      <xdr:row>2</xdr:row>
      <xdr:rowOff>7752</xdr:rowOff>
    </xdr:from>
    <xdr:to>
      <xdr:col>45</xdr:col>
      <xdr:colOff>219074</xdr:colOff>
      <xdr:row>11</xdr:row>
      <xdr:rowOff>7752</xdr:rowOff>
    </xdr:to>
    <xdr:graphicFrame macro="">
      <xdr:nvGraphicFramePr>
        <xdr:cNvPr id="39" name="Grafik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228600</xdr:colOff>
      <xdr:row>12</xdr:row>
      <xdr:rowOff>181284</xdr:rowOff>
    </xdr:from>
    <xdr:to>
      <xdr:col>19</xdr:col>
      <xdr:colOff>228600</xdr:colOff>
      <xdr:row>21</xdr:row>
      <xdr:rowOff>247649</xdr:rowOff>
    </xdr:to>
    <xdr:graphicFrame macro="">
      <xdr:nvGraphicFramePr>
        <xdr:cNvPr id="40" name="Grafik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22</xdr:col>
      <xdr:colOff>66674</xdr:colOff>
      <xdr:row>14</xdr:row>
      <xdr:rowOff>285749</xdr:rowOff>
    </xdr:from>
    <xdr:to>
      <xdr:col>31</xdr:col>
      <xdr:colOff>79141</xdr:colOff>
      <xdr:row>21</xdr:row>
      <xdr:rowOff>0</xdr:rowOff>
    </xdr:to>
    <xdr:pic>
      <xdr:nvPicPr>
        <xdr:cNvPr id="44" name="Resim 43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39099" y="4552949"/>
          <a:ext cx="3270017" cy="18478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34</xdr:col>
      <xdr:colOff>333375</xdr:colOff>
      <xdr:row>13</xdr:row>
      <xdr:rowOff>28575</xdr:rowOff>
    </xdr:from>
    <xdr:to>
      <xdr:col>46</xdr:col>
      <xdr:colOff>66675</xdr:colOff>
      <xdr:row>22</xdr:row>
      <xdr:rowOff>28575</xdr:rowOff>
    </xdr:to>
    <xdr:graphicFrame macro="">
      <xdr:nvGraphicFramePr>
        <xdr:cNvPr id="36" name="Grafik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6</xdr:col>
      <xdr:colOff>347133</xdr:colOff>
      <xdr:row>5</xdr:row>
      <xdr:rowOff>296334</xdr:rowOff>
    </xdr:to>
    <xdr:sp macro="" textlink="">
      <xdr:nvSpPr>
        <xdr:cNvPr id="6" name="Dikdörtgen 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0" y="1219200"/>
          <a:ext cx="2549313" cy="601134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140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GENEL  DURUM</a:t>
          </a:r>
        </a:p>
      </xdr:txBody>
    </xdr:sp>
    <xdr:clientData/>
  </xdr:twoCellAnchor>
  <xdr:twoCellAnchor>
    <xdr:from>
      <xdr:col>0</xdr:col>
      <xdr:colOff>0</xdr:colOff>
      <xdr:row>7</xdr:row>
      <xdr:rowOff>16933</xdr:rowOff>
    </xdr:from>
    <xdr:to>
      <xdr:col>6</xdr:col>
      <xdr:colOff>347133</xdr:colOff>
      <xdr:row>9</xdr:row>
      <xdr:rowOff>8467</xdr:rowOff>
    </xdr:to>
    <xdr:sp macro="" textlink="">
      <xdr:nvSpPr>
        <xdr:cNvPr id="7" name="Dikdörtgen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0" y="2150533"/>
          <a:ext cx="2549313" cy="601134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140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ÜRÜNLER</a:t>
          </a:r>
        </a:p>
      </xdr:txBody>
    </xdr:sp>
    <xdr:clientData/>
  </xdr:twoCellAnchor>
  <xdr:twoCellAnchor>
    <xdr:from>
      <xdr:col>0</xdr:col>
      <xdr:colOff>0</xdr:colOff>
      <xdr:row>10</xdr:row>
      <xdr:rowOff>16933</xdr:rowOff>
    </xdr:from>
    <xdr:to>
      <xdr:col>6</xdr:col>
      <xdr:colOff>347133</xdr:colOff>
      <xdr:row>12</xdr:row>
      <xdr:rowOff>8467</xdr:rowOff>
    </xdr:to>
    <xdr:sp macro="" textlink="">
      <xdr:nvSpPr>
        <xdr:cNvPr id="8" name="Dikdörtgen 7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0" y="3064933"/>
          <a:ext cx="2549313" cy="601134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140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SATIŞLAR</a:t>
          </a:r>
        </a:p>
      </xdr:txBody>
    </xdr:sp>
    <xdr:clientData/>
  </xdr:twoCellAnchor>
  <xdr:twoCellAnchor>
    <xdr:from>
      <xdr:col>0</xdr:col>
      <xdr:colOff>0</xdr:colOff>
      <xdr:row>12</xdr:row>
      <xdr:rowOff>296333</xdr:rowOff>
    </xdr:from>
    <xdr:to>
      <xdr:col>6</xdr:col>
      <xdr:colOff>347133</xdr:colOff>
      <xdr:row>14</xdr:row>
      <xdr:rowOff>287867</xdr:rowOff>
    </xdr:to>
    <xdr:sp macro="" textlink="">
      <xdr:nvSpPr>
        <xdr:cNvPr id="9" name="Dikdörtgen 8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0" y="3953933"/>
          <a:ext cx="2549313" cy="601134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140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PERSONELLER</a:t>
          </a:r>
        </a:p>
      </xdr:txBody>
    </xdr:sp>
    <xdr:clientData/>
  </xdr:twoCellAnchor>
  <xdr:twoCellAnchor editAs="absolute">
    <xdr:from>
      <xdr:col>9</xdr:col>
      <xdr:colOff>50799</xdr:colOff>
      <xdr:row>1</xdr:row>
      <xdr:rowOff>95248</xdr:rowOff>
    </xdr:from>
    <xdr:to>
      <xdr:col>10</xdr:col>
      <xdr:colOff>40216</xdr:colOff>
      <xdr:row>2</xdr:row>
      <xdr:rowOff>256115</xdr:rowOff>
    </xdr:to>
    <xdr:sp macro="[0]!Module1.UrunEkle" textlink="">
      <xdr:nvSpPr>
        <xdr:cNvPr id="2" name="Yuvarlatılmış Dikdörtgen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3232149" y="400048"/>
          <a:ext cx="1370542" cy="465667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Yeni Ürün Ekle</a:t>
          </a:r>
        </a:p>
      </xdr:txBody>
    </xdr:sp>
    <xdr:clientData/>
  </xdr:twoCellAnchor>
  <xdr:twoCellAnchor editAs="absolute">
    <xdr:from>
      <xdr:col>13</xdr:col>
      <xdr:colOff>720724</xdr:colOff>
      <xdr:row>1</xdr:row>
      <xdr:rowOff>66674</xdr:rowOff>
    </xdr:from>
    <xdr:to>
      <xdr:col>15</xdr:col>
      <xdr:colOff>914400</xdr:colOff>
      <xdr:row>2</xdr:row>
      <xdr:rowOff>228599</xdr:rowOff>
    </xdr:to>
    <xdr:sp macro="[0]!Module1.StokGiris" textlink="">
      <xdr:nvSpPr>
        <xdr:cNvPr id="3" name="Yuvarlatılmış Dikdörtgen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9664699" y="371474"/>
          <a:ext cx="1660526" cy="466725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Stok Girişi</a:t>
          </a:r>
        </a:p>
      </xdr:txBody>
    </xdr:sp>
    <xdr:clientData/>
  </xdr:twoCellAnchor>
  <xdr:twoCellAnchor editAs="oneCell">
    <xdr:from>
      <xdr:col>0</xdr:col>
      <xdr:colOff>0</xdr:colOff>
      <xdr:row>0</xdr:row>
      <xdr:rowOff>190500</xdr:rowOff>
    </xdr:from>
    <xdr:to>
      <xdr:col>2</xdr:col>
      <xdr:colOff>200025</xdr:colOff>
      <xdr:row>3</xdr:row>
      <xdr:rowOff>190500</xdr:rowOff>
    </xdr:to>
    <xdr:pic>
      <xdr:nvPicPr>
        <xdr:cNvPr id="5" name="Grafik 4" descr="QR Kodu düz dolguyla">
          <a:extLst>
            <a:ext uri="{FF2B5EF4-FFF2-40B4-BE49-F238E27FC236}">
              <a16:creationId xmlns="" xmlns:a16="http://schemas.microsoft.com/office/drawing/2014/main" id="{FEACC9B6-BD55-4508-A549-03F8A67B0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0" y="190500"/>
          <a:ext cx="914400" cy="914400"/>
        </a:xfrm>
        <a:prstGeom prst="rect">
          <a:avLst/>
        </a:prstGeom>
      </xdr:spPr>
    </xdr:pic>
    <xdr:clientData/>
  </xdr:twoCellAnchor>
  <xdr:twoCellAnchor>
    <xdr:from>
      <xdr:col>2</xdr:col>
      <xdr:colOff>190500</xdr:colOff>
      <xdr:row>0</xdr:row>
      <xdr:rowOff>276225</xdr:rowOff>
    </xdr:from>
    <xdr:to>
      <xdr:col>6</xdr:col>
      <xdr:colOff>304800</xdr:colOff>
      <xdr:row>3</xdr:row>
      <xdr:rowOff>95250</xdr:rowOff>
    </xdr:to>
    <xdr:sp macro="" textlink="">
      <xdr:nvSpPr>
        <xdr:cNvPr id="11" name="Oval 10">
          <a:extLst>
            <a:ext uri="{FF2B5EF4-FFF2-40B4-BE49-F238E27FC236}">
              <a16:creationId xmlns="" xmlns:a16="http://schemas.microsoft.com/office/drawing/2014/main" id="{354B1979-B39C-479E-AB4A-E05B00E65E9B}"/>
            </a:ext>
          </a:extLst>
        </xdr:cNvPr>
        <xdr:cNvSpPr/>
      </xdr:nvSpPr>
      <xdr:spPr>
        <a:xfrm>
          <a:off x="904875" y="276225"/>
          <a:ext cx="1524000" cy="733425"/>
        </a:xfrm>
        <a:prstGeom prst="ellipse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A4BE7B"/>
              </a:solidFill>
              <a:latin typeface="Congenial" panose="02000503040000020004" pitchFamily="2" charset="0"/>
            </a:rPr>
            <a:t>STOK TAKİP</a:t>
          </a:r>
        </a:p>
        <a:p>
          <a:pPr algn="ctr"/>
          <a:r>
            <a:rPr lang="tr-TR" sz="1100" b="1">
              <a:solidFill>
                <a:srgbClr val="A4BE7B"/>
              </a:solidFill>
              <a:latin typeface="Congenial" panose="02000503040000020004" pitchFamily="2" charset="0"/>
            </a:rPr>
            <a:t>PROGRAMI</a:t>
          </a:r>
        </a:p>
      </xdr:txBody>
    </xdr:sp>
    <xdr:clientData/>
  </xdr:twoCellAnchor>
  <xdr:twoCellAnchor editAs="oneCell">
    <xdr:from>
      <xdr:col>5</xdr:col>
      <xdr:colOff>142875</xdr:colOff>
      <xdr:row>4</xdr:row>
      <xdr:rowOff>57150</xdr:rowOff>
    </xdr:from>
    <xdr:to>
      <xdr:col>6</xdr:col>
      <xdr:colOff>327025</xdr:colOff>
      <xdr:row>5</xdr:row>
      <xdr:rowOff>283634</xdr:rowOff>
    </xdr:to>
    <xdr:pic>
      <xdr:nvPicPr>
        <xdr:cNvPr id="12" name="Grafik 11" descr="Sunu çubuk grafiği  düz dolguyla">
          <a:extLst>
            <a:ext uri="{FF2B5EF4-FFF2-40B4-BE49-F238E27FC236}">
              <a16:creationId xmlns="" xmlns:a16="http://schemas.microsoft.com/office/drawing/2014/main" id="{2C7E8E88-C6E0-4A12-9803-B577BB197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914525" y="1276350"/>
          <a:ext cx="536575" cy="531284"/>
        </a:xfrm>
        <a:prstGeom prst="rect">
          <a:avLst/>
        </a:prstGeom>
      </xdr:spPr>
    </xdr:pic>
    <xdr:clientData/>
  </xdr:twoCellAnchor>
  <xdr:twoCellAnchor editAs="oneCell">
    <xdr:from>
      <xdr:col>5</xdr:col>
      <xdr:colOff>114300</xdr:colOff>
      <xdr:row>7</xdr:row>
      <xdr:rowOff>22225</xdr:rowOff>
    </xdr:from>
    <xdr:to>
      <xdr:col>6</xdr:col>
      <xdr:colOff>336549</xdr:colOff>
      <xdr:row>8</xdr:row>
      <xdr:rowOff>284691</xdr:rowOff>
    </xdr:to>
    <xdr:pic>
      <xdr:nvPicPr>
        <xdr:cNvPr id="13" name="Grafik 12" descr="Envanter düz dolguyla">
          <a:extLst>
            <a:ext uri="{FF2B5EF4-FFF2-40B4-BE49-F238E27FC236}">
              <a16:creationId xmlns="" xmlns:a16="http://schemas.microsoft.com/office/drawing/2014/main" id="{25E0B053-339D-4796-B088-205E2E7D7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885950" y="2155825"/>
          <a:ext cx="574674" cy="567266"/>
        </a:xfrm>
        <a:prstGeom prst="rect">
          <a:avLst/>
        </a:prstGeom>
      </xdr:spPr>
    </xdr:pic>
    <xdr:clientData/>
  </xdr:twoCellAnchor>
  <xdr:twoCellAnchor editAs="oneCell">
    <xdr:from>
      <xdr:col>5</xdr:col>
      <xdr:colOff>104775</xdr:colOff>
      <xdr:row>10</xdr:row>
      <xdr:rowOff>25400</xdr:rowOff>
    </xdr:from>
    <xdr:to>
      <xdr:col>6</xdr:col>
      <xdr:colOff>288925</xdr:colOff>
      <xdr:row>11</xdr:row>
      <xdr:rowOff>251884</xdr:rowOff>
    </xdr:to>
    <xdr:pic>
      <xdr:nvPicPr>
        <xdr:cNvPr id="14" name="Grafik 13" descr="Yazarkasa düz dolguyla">
          <a:extLst>
            <a:ext uri="{FF2B5EF4-FFF2-40B4-BE49-F238E27FC236}">
              <a16:creationId xmlns="" xmlns:a16="http://schemas.microsoft.com/office/drawing/2014/main" id="{BF985A1E-015F-4C92-82E2-F79834700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876425" y="3073400"/>
          <a:ext cx="536575" cy="531284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12</xdr:row>
      <xdr:rowOff>295275</xdr:rowOff>
    </xdr:from>
    <xdr:to>
      <xdr:col>6</xdr:col>
      <xdr:colOff>279400</xdr:colOff>
      <xdr:row>14</xdr:row>
      <xdr:rowOff>245534</xdr:rowOff>
    </xdr:to>
    <xdr:pic>
      <xdr:nvPicPr>
        <xdr:cNvPr id="15" name="Grafik 14" descr="Bir grup kadın düz dolguyla">
          <a:extLst>
            <a:ext uri="{FF2B5EF4-FFF2-40B4-BE49-F238E27FC236}">
              <a16:creationId xmlns="" xmlns:a16="http://schemas.microsoft.com/office/drawing/2014/main" id="{BC1015CF-249B-46DF-B844-5ED6EFA88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838325" y="3952875"/>
          <a:ext cx="565150" cy="559859"/>
        </a:xfrm>
        <a:prstGeom prst="rect">
          <a:avLst/>
        </a:prstGeom>
      </xdr:spPr>
    </xdr:pic>
    <xdr:clientData/>
  </xdr:twoCellAnchor>
  <xdr:twoCellAnchor>
    <xdr:from>
      <xdr:col>11</xdr:col>
      <xdr:colOff>1114425</xdr:colOff>
      <xdr:row>1</xdr:row>
      <xdr:rowOff>76200</xdr:rowOff>
    </xdr:from>
    <xdr:to>
      <xdr:col>12</xdr:col>
      <xdr:colOff>1381125</xdr:colOff>
      <xdr:row>2</xdr:row>
      <xdr:rowOff>266700</xdr:rowOff>
    </xdr:to>
    <xdr:sp macro="[0]!yeniurunguncelle" textlink="">
      <xdr:nvSpPr>
        <xdr:cNvPr id="23" name="Dikdörtgen: Köşeleri Yuvarlatılmış 22">
          <a:extLst>
            <a:ext uri="{FF2B5EF4-FFF2-40B4-BE49-F238E27FC236}">
              <a16:creationId xmlns="" xmlns:a16="http://schemas.microsoft.com/office/drawing/2014/main" id="{E12CEFD1-0AAC-5C42-225E-A02CDF6B3F4A}"/>
            </a:ext>
          </a:extLst>
        </xdr:cNvPr>
        <xdr:cNvSpPr/>
      </xdr:nvSpPr>
      <xdr:spPr>
        <a:xfrm>
          <a:off x="7219950" y="381000"/>
          <a:ext cx="1685925" cy="4953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>
              <a:latin typeface="Congenial" panose="02000503040000020004" pitchFamily="2" charset="0"/>
            </a:rPr>
            <a:t> </a:t>
          </a:r>
          <a:r>
            <a:rPr lang="tr-TR" sz="120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Yeni</a:t>
          </a:r>
          <a:r>
            <a:rPr lang="tr-TR" sz="1200" baseline="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 Ürün </a:t>
          </a:r>
          <a:r>
            <a:rPr lang="tr-TR" sz="120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Güncelle</a:t>
          </a:r>
        </a:p>
      </xdr:txBody>
    </xdr:sp>
    <xdr:clientData/>
  </xdr:twoCellAnchor>
  <xdr:twoCellAnchor>
    <xdr:from>
      <xdr:col>16</xdr:col>
      <xdr:colOff>542925</xdr:colOff>
      <xdr:row>1</xdr:row>
      <xdr:rowOff>47625</xdr:rowOff>
    </xdr:from>
    <xdr:to>
      <xdr:col>17</xdr:col>
      <xdr:colOff>1123950</xdr:colOff>
      <xdr:row>2</xdr:row>
      <xdr:rowOff>228600</xdr:rowOff>
    </xdr:to>
    <xdr:sp macro="[0]!stokgirisguncelle" textlink="">
      <xdr:nvSpPr>
        <xdr:cNvPr id="4" name="Dikdörtgen: Köşeleri Yuvarlatılmış 3">
          <a:extLst>
            <a:ext uri="{FF2B5EF4-FFF2-40B4-BE49-F238E27FC236}">
              <a16:creationId xmlns="" xmlns:a16="http://schemas.microsoft.com/office/drawing/2014/main" id="{66BDE690-23BE-AB86-12DC-C7FBA8C17F85}"/>
            </a:ext>
          </a:extLst>
        </xdr:cNvPr>
        <xdr:cNvSpPr/>
      </xdr:nvSpPr>
      <xdr:spPr>
        <a:xfrm>
          <a:off x="12392025" y="352425"/>
          <a:ext cx="1743075" cy="485775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Stok</a:t>
          </a:r>
          <a:r>
            <a:rPr lang="tr-TR" sz="1200" baseline="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 Giriş Güncelle</a:t>
          </a:r>
          <a:endParaRPr lang="tr-TR" sz="1200">
            <a:solidFill>
              <a:schemeClr val="accent3">
                <a:lumMod val="20000"/>
                <a:lumOff val="80000"/>
              </a:schemeClr>
            </a:solidFill>
            <a:latin typeface="Congenial" panose="02000503040000020004" pitchFamily="2" charset="0"/>
          </a:endParaRPr>
        </a:p>
      </xdr:txBody>
    </xdr:sp>
    <xdr:clientData/>
  </xdr:twoCellAnchor>
  <xdr:twoCellAnchor>
    <xdr:from>
      <xdr:col>0</xdr:col>
      <xdr:colOff>0</xdr:colOff>
      <xdr:row>20</xdr:row>
      <xdr:rowOff>9525</xdr:rowOff>
    </xdr:from>
    <xdr:to>
      <xdr:col>6</xdr:col>
      <xdr:colOff>347133</xdr:colOff>
      <xdr:row>22</xdr:row>
      <xdr:rowOff>1059</xdr:rowOff>
    </xdr:to>
    <xdr:grpSp>
      <xdr:nvGrpSpPr>
        <xdr:cNvPr id="10" name="Grup 9">
          <a:extLst>
            <a:ext uri="{FF2B5EF4-FFF2-40B4-BE49-F238E27FC236}">
              <a16:creationId xmlns="" xmlns:a16="http://schemas.microsoft.com/office/drawing/2014/main" id="{201F523E-B2D6-4D64-B4DB-B503D54F91B1}"/>
            </a:ext>
          </a:extLst>
        </xdr:cNvPr>
        <xdr:cNvGrpSpPr/>
      </xdr:nvGrpSpPr>
      <xdr:grpSpPr>
        <a:xfrm>
          <a:off x="0" y="6105525"/>
          <a:ext cx="2528358" cy="601134"/>
          <a:chOff x="0" y="6116108"/>
          <a:chExt cx="2471208" cy="601134"/>
        </a:xfrm>
      </xdr:grpSpPr>
      <xdr:sp macro="[0]!cikis" textlink="">
        <xdr:nvSpPr>
          <xdr:cNvPr id="16" name="Dikdörtgen 15">
            <a:extLst>
              <a:ext uri="{FF2B5EF4-FFF2-40B4-BE49-F238E27FC236}">
                <a16:creationId xmlns="" xmlns:a16="http://schemas.microsoft.com/office/drawing/2014/main" id="{8162DA81-66C5-31DF-5D8F-D8FE3DFC47BB}"/>
              </a:ext>
            </a:extLst>
          </xdr:cNvPr>
          <xdr:cNvSpPr/>
        </xdr:nvSpPr>
        <xdr:spPr>
          <a:xfrm>
            <a:off x="0" y="6116108"/>
            <a:ext cx="2471208" cy="601134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tx1">
                <a:lumMod val="85000"/>
                <a:lumOff val="1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tr-TR" sz="1400">
                <a:solidFill>
                  <a:schemeClr val="accent3">
                    <a:lumMod val="20000"/>
                    <a:lumOff val="80000"/>
                  </a:schemeClr>
                </a:solidFill>
                <a:latin typeface="Congenial" panose="02000503040000020004" pitchFamily="2" charset="0"/>
              </a:rPr>
              <a:t>ÇIKIŞ</a:t>
            </a:r>
          </a:p>
        </xdr:txBody>
      </xdr:sp>
      <xdr:pic macro="[0]!cikis">
        <xdr:nvPicPr>
          <xdr:cNvPr id="17" name="Grafik 16" descr="Çıkış düz dolguyla">
            <a:extLst>
              <a:ext uri="{FF2B5EF4-FFF2-40B4-BE49-F238E27FC236}">
                <a16:creationId xmlns="" xmlns:a16="http://schemas.microsoft.com/office/drawing/2014/main" id="{4F37B60A-4ECE-2368-FD60-AD206BC430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905000" y="6162675"/>
            <a:ext cx="466725" cy="46672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6</xdr:col>
      <xdr:colOff>347133</xdr:colOff>
      <xdr:row>5</xdr:row>
      <xdr:rowOff>296334</xdr:rowOff>
    </xdr:to>
    <xdr:sp macro="" textlink="">
      <xdr:nvSpPr>
        <xdr:cNvPr id="6" name="Dikdörtgen 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1219200"/>
          <a:ext cx="2549313" cy="601134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140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GENEL  DURUM</a:t>
          </a:r>
        </a:p>
      </xdr:txBody>
    </xdr:sp>
    <xdr:clientData/>
  </xdr:twoCellAnchor>
  <xdr:twoCellAnchor>
    <xdr:from>
      <xdr:col>0</xdr:col>
      <xdr:colOff>0</xdr:colOff>
      <xdr:row>7</xdr:row>
      <xdr:rowOff>16933</xdr:rowOff>
    </xdr:from>
    <xdr:to>
      <xdr:col>6</xdr:col>
      <xdr:colOff>347133</xdr:colOff>
      <xdr:row>9</xdr:row>
      <xdr:rowOff>8467</xdr:rowOff>
    </xdr:to>
    <xdr:sp macro="" textlink="">
      <xdr:nvSpPr>
        <xdr:cNvPr id="7" name="Dikdörtgen 6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0" y="2150533"/>
          <a:ext cx="2549313" cy="601134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140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ÜRÜNLER</a:t>
          </a:r>
        </a:p>
      </xdr:txBody>
    </xdr:sp>
    <xdr:clientData/>
  </xdr:twoCellAnchor>
  <xdr:twoCellAnchor>
    <xdr:from>
      <xdr:col>0</xdr:col>
      <xdr:colOff>0</xdr:colOff>
      <xdr:row>10</xdr:row>
      <xdr:rowOff>16933</xdr:rowOff>
    </xdr:from>
    <xdr:to>
      <xdr:col>6</xdr:col>
      <xdr:colOff>347133</xdr:colOff>
      <xdr:row>12</xdr:row>
      <xdr:rowOff>8467</xdr:rowOff>
    </xdr:to>
    <xdr:sp macro="" textlink="">
      <xdr:nvSpPr>
        <xdr:cNvPr id="8" name="Dikdörtgen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0" y="3086100"/>
          <a:ext cx="2453216" cy="605367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140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SATIŞLAR</a:t>
          </a:r>
        </a:p>
      </xdr:txBody>
    </xdr:sp>
    <xdr:clientData/>
  </xdr:twoCellAnchor>
  <xdr:twoCellAnchor>
    <xdr:from>
      <xdr:col>0</xdr:col>
      <xdr:colOff>0</xdr:colOff>
      <xdr:row>12</xdr:row>
      <xdr:rowOff>296333</xdr:rowOff>
    </xdr:from>
    <xdr:to>
      <xdr:col>6</xdr:col>
      <xdr:colOff>347133</xdr:colOff>
      <xdr:row>14</xdr:row>
      <xdr:rowOff>287867</xdr:rowOff>
    </xdr:to>
    <xdr:sp macro="" textlink="">
      <xdr:nvSpPr>
        <xdr:cNvPr id="9" name="Dikdörtgen 8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0" y="3953933"/>
          <a:ext cx="2549313" cy="601134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140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PERSONELLER</a:t>
          </a:r>
        </a:p>
      </xdr:txBody>
    </xdr:sp>
    <xdr:clientData/>
  </xdr:twoCellAnchor>
  <xdr:twoCellAnchor>
    <xdr:from>
      <xdr:col>9</xdr:col>
      <xdr:colOff>4233</xdr:colOff>
      <xdr:row>1</xdr:row>
      <xdr:rowOff>262466</xdr:rowOff>
    </xdr:from>
    <xdr:to>
      <xdr:col>11</xdr:col>
      <xdr:colOff>1132417</xdr:colOff>
      <xdr:row>3</xdr:row>
      <xdr:rowOff>63499</xdr:rowOff>
    </xdr:to>
    <xdr:sp macro="[0]!StokCikis" textlink="">
      <xdr:nvSpPr>
        <xdr:cNvPr id="2" name="Yuvarlatılmış Dikdörtgen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3158066" y="569383"/>
          <a:ext cx="3901018" cy="414866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Satış Ekle</a:t>
          </a:r>
        </a:p>
      </xdr:txBody>
    </xdr:sp>
    <xdr:clientData/>
  </xdr:twoCellAnchor>
  <xdr:twoCellAnchor editAs="oneCell">
    <xdr:from>
      <xdr:col>5</xdr:col>
      <xdr:colOff>133350</xdr:colOff>
      <xdr:row>4</xdr:row>
      <xdr:rowOff>78316</xdr:rowOff>
    </xdr:from>
    <xdr:to>
      <xdr:col>6</xdr:col>
      <xdr:colOff>315383</xdr:colOff>
      <xdr:row>6</xdr:row>
      <xdr:rowOff>0</xdr:rowOff>
    </xdr:to>
    <xdr:pic>
      <xdr:nvPicPr>
        <xdr:cNvPr id="11" name="Grafik 10" descr="Sunu çubuk grafiği  düz dolguyla">
          <a:extLst>
            <a:ext uri="{FF2B5EF4-FFF2-40B4-BE49-F238E27FC236}">
              <a16:creationId xmlns="" xmlns:a16="http://schemas.microsoft.com/office/drawing/2014/main" id="{6DDF84AA-5FA0-4B85-8A89-B57BAE3A7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890183" y="1305983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104775</xdr:colOff>
      <xdr:row>7</xdr:row>
      <xdr:rowOff>43391</xdr:rowOff>
    </xdr:from>
    <xdr:to>
      <xdr:col>6</xdr:col>
      <xdr:colOff>324907</xdr:colOff>
      <xdr:row>9</xdr:row>
      <xdr:rowOff>1057</xdr:rowOff>
    </xdr:to>
    <xdr:pic>
      <xdr:nvPicPr>
        <xdr:cNvPr id="12" name="Grafik 11" descr="Envanter düz dolguyla">
          <a:extLst>
            <a:ext uri="{FF2B5EF4-FFF2-40B4-BE49-F238E27FC236}">
              <a16:creationId xmlns="" xmlns:a16="http://schemas.microsoft.com/office/drawing/2014/main" id="{67880D10-E813-4077-BDAA-BF4011030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861608" y="2191808"/>
          <a:ext cx="571499" cy="571499"/>
        </a:xfrm>
        <a:prstGeom prst="rect">
          <a:avLst/>
        </a:prstGeom>
      </xdr:spPr>
    </xdr:pic>
    <xdr:clientData/>
  </xdr:twoCellAnchor>
  <xdr:twoCellAnchor editAs="oneCell">
    <xdr:from>
      <xdr:col>5</xdr:col>
      <xdr:colOff>95250</xdr:colOff>
      <xdr:row>10</xdr:row>
      <xdr:rowOff>46566</xdr:rowOff>
    </xdr:from>
    <xdr:to>
      <xdr:col>6</xdr:col>
      <xdr:colOff>277283</xdr:colOff>
      <xdr:row>11</xdr:row>
      <xdr:rowOff>273050</xdr:rowOff>
    </xdr:to>
    <xdr:pic>
      <xdr:nvPicPr>
        <xdr:cNvPr id="13" name="Grafik 12" descr="Yazarkasa düz dolguyla">
          <a:extLst>
            <a:ext uri="{FF2B5EF4-FFF2-40B4-BE49-F238E27FC236}">
              <a16:creationId xmlns="" xmlns:a16="http://schemas.microsoft.com/office/drawing/2014/main" id="{0B5BEC2D-9F58-4CBC-B623-DDF13D0F4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852083" y="3115733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13</xdr:row>
      <xdr:rowOff>11641</xdr:rowOff>
    </xdr:from>
    <xdr:to>
      <xdr:col>6</xdr:col>
      <xdr:colOff>267758</xdr:colOff>
      <xdr:row>14</xdr:row>
      <xdr:rowOff>266700</xdr:rowOff>
    </xdr:to>
    <xdr:pic>
      <xdr:nvPicPr>
        <xdr:cNvPr id="14" name="Grafik 13" descr="Bir grup kadın düz dolguyla">
          <a:extLst>
            <a:ext uri="{FF2B5EF4-FFF2-40B4-BE49-F238E27FC236}">
              <a16:creationId xmlns="" xmlns:a16="http://schemas.microsoft.com/office/drawing/2014/main" id="{67664402-E779-494B-8699-3B28DF5F0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813983" y="4001558"/>
          <a:ext cx="561975" cy="561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138641</xdr:rowOff>
    </xdr:from>
    <xdr:to>
      <xdr:col>2</xdr:col>
      <xdr:colOff>202142</xdr:colOff>
      <xdr:row>3</xdr:row>
      <xdr:rowOff>132291</xdr:rowOff>
    </xdr:to>
    <xdr:pic>
      <xdr:nvPicPr>
        <xdr:cNvPr id="15" name="Grafik 14" descr="QR Kodu düz dolguyla">
          <a:extLst>
            <a:ext uri="{FF2B5EF4-FFF2-40B4-BE49-F238E27FC236}">
              <a16:creationId xmlns="" xmlns:a16="http://schemas.microsoft.com/office/drawing/2014/main" id="{39620BB5-2572-4D24-98B4-9CF0B9220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138641"/>
          <a:ext cx="919692" cy="908050"/>
        </a:xfrm>
        <a:prstGeom prst="rect">
          <a:avLst/>
        </a:prstGeom>
      </xdr:spPr>
    </xdr:pic>
    <xdr:clientData/>
  </xdr:twoCellAnchor>
  <xdr:twoCellAnchor>
    <xdr:from>
      <xdr:col>2</xdr:col>
      <xdr:colOff>179917</xdr:colOff>
      <xdr:row>0</xdr:row>
      <xdr:rowOff>264583</xdr:rowOff>
    </xdr:from>
    <xdr:to>
      <xdr:col>6</xdr:col>
      <xdr:colOff>306917</xdr:colOff>
      <xdr:row>3</xdr:row>
      <xdr:rowOff>77258</xdr:rowOff>
    </xdr:to>
    <xdr:sp macro="" textlink="">
      <xdr:nvSpPr>
        <xdr:cNvPr id="16" name="Oval 15">
          <a:extLst>
            <a:ext uri="{FF2B5EF4-FFF2-40B4-BE49-F238E27FC236}">
              <a16:creationId xmlns="" xmlns:a16="http://schemas.microsoft.com/office/drawing/2014/main" id="{B605750F-F396-4546-803F-882C5B602924}"/>
            </a:ext>
          </a:extLst>
        </xdr:cNvPr>
        <xdr:cNvSpPr/>
      </xdr:nvSpPr>
      <xdr:spPr>
        <a:xfrm>
          <a:off x="889000" y="264583"/>
          <a:ext cx="1524000" cy="733425"/>
        </a:xfrm>
        <a:prstGeom prst="ellipse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A4BE7B"/>
              </a:solidFill>
              <a:latin typeface="Congenial" panose="02000503040000020004" pitchFamily="2" charset="0"/>
            </a:rPr>
            <a:t>STOK TAKİP</a:t>
          </a:r>
        </a:p>
        <a:p>
          <a:pPr algn="ctr"/>
          <a:r>
            <a:rPr lang="tr-TR" sz="1100" b="1">
              <a:solidFill>
                <a:srgbClr val="A4BE7B"/>
              </a:solidFill>
              <a:latin typeface="Congenial" panose="02000503040000020004" pitchFamily="2" charset="0"/>
            </a:rPr>
            <a:t>PROGRAMI</a:t>
          </a:r>
        </a:p>
      </xdr:txBody>
    </xdr:sp>
    <xdr:clientData/>
  </xdr:twoCellAnchor>
  <xdr:twoCellAnchor>
    <xdr:from>
      <xdr:col>14</xdr:col>
      <xdr:colOff>114300</xdr:colOff>
      <xdr:row>1</xdr:row>
      <xdr:rowOff>247651</xdr:rowOff>
    </xdr:from>
    <xdr:to>
      <xdr:col>16</xdr:col>
      <xdr:colOff>1352550</xdr:colOff>
      <xdr:row>3</xdr:row>
      <xdr:rowOff>47625</xdr:rowOff>
    </xdr:to>
    <xdr:sp macro="[0]!stoksatisGuncelle" textlink="">
      <xdr:nvSpPr>
        <xdr:cNvPr id="3" name="Yuvarlatılmış Dikdörtgen 3">
          <a:extLst>
            <a:ext uri="{FF2B5EF4-FFF2-40B4-BE49-F238E27FC236}">
              <a16:creationId xmlns="" xmlns:a16="http://schemas.microsoft.com/office/drawing/2014/main" id="{1DC57CD3-3C2D-4397-94D8-008BC1F7B27D}"/>
            </a:ext>
          </a:extLst>
        </xdr:cNvPr>
        <xdr:cNvSpPr/>
      </xdr:nvSpPr>
      <xdr:spPr>
        <a:xfrm>
          <a:off x="10544175" y="552451"/>
          <a:ext cx="4000500" cy="409574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Güncelle</a:t>
          </a:r>
        </a:p>
      </xdr:txBody>
    </xdr:sp>
    <xdr:clientData/>
  </xdr:twoCellAnchor>
  <xdr:twoCellAnchor>
    <xdr:from>
      <xdr:col>0</xdr:col>
      <xdr:colOff>0</xdr:colOff>
      <xdr:row>20</xdr:row>
      <xdr:rowOff>28575</xdr:rowOff>
    </xdr:from>
    <xdr:to>
      <xdr:col>6</xdr:col>
      <xdr:colOff>347133</xdr:colOff>
      <xdr:row>22</xdr:row>
      <xdr:rowOff>20109</xdr:rowOff>
    </xdr:to>
    <xdr:grpSp>
      <xdr:nvGrpSpPr>
        <xdr:cNvPr id="5" name="Grup 4">
          <a:extLst>
            <a:ext uri="{FF2B5EF4-FFF2-40B4-BE49-F238E27FC236}">
              <a16:creationId xmlns="" xmlns:a16="http://schemas.microsoft.com/office/drawing/2014/main" id="{78748EAE-46ED-42FA-896C-4D62B5B1EFDF}"/>
            </a:ext>
          </a:extLst>
        </xdr:cNvPr>
        <xdr:cNvGrpSpPr/>
      </xdr:nvGrpSpPr>
      <xdr:grpSpPr>
        <a:xfrm>
          <a:off x="0" y="6124575"/>
          <a:ext cx="2528358" cy="601134"/>
          <a:chOff x="0" y="6116108"/>
          <a:chExt cx="2471208" cy="601134"/>
        </a:xfrm>
      </xdr:grpSpPr>
      <xdr:sp macro="[0]!cikis" textlink="">
        <xdr:nvSpPr>
          <xdr:cNvPr id="10" name="Dikdörtgen 9">
            <a:extLst>
              <a:ext uri="{FF2B5EF4-FFF2-40B4-BE49-F238E27FC236}">
                <a16:creationId xmlns="" xmlns:a16="http://schemas.microsoft.com/office/drawing/2014/main" id="{8C3397C6-73A6-3ACF-2BFE-E5B896C1D730}"/>
              </a:ext>
            </a:extLst>
          </xdr:cNvPr>
          <xdr:cNvSpPr/>
        </xdr:nvSpPr>
        <xdr:spPr>
          <a:xfrm>
            <a:off x="0" y="6116108"/>
            <a:ext cx="2471208" cy="601134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tx1">
                <a:lumMod val="85000"/>
                <a:lumOff val="1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tr-TR" sz="1400">
                <a:solidFill>
                  <a:schemeClr val="accent3">
                    <a:lumMod val="20000"/>
                    <a:lumOff val="80000"/>
                  </a:schemeClr>
                </a:solidFill>
                <a:latin typeface="Congenial" panose="02000503040000020004" pitchFamily="2" charset="0"/>
              </a:rPr>
              <a:t>ÇIKIŞ</a:t>
            </a:r>
          </a:p>
        </xdr:txBody>
      </xdr:sp>
      <xdr:pic macro="[0]!cikis">
        <xdr:nvPicPr>
          <xdr:cNvPr id="17" name="Grafik 16" descr="Çıkış düz dolguyla">
            <a:extLst>
              <a:ext uri="{FF2B5EF4-FFF2-40B4-BE49-F238E27FC236}">
                <a16:creationId xmlns="" xmlns:a16="http://schemas.microsoft.com/office/drawing/2014/main" id="{7FF41A31-50D4-E108-6399-73186A91F3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905000" y="6162675"/>
            <a:ext cx="466725" cy="46672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6</xdr:col>
      <xdr:colOff>347133</xdr:colOff>
      <xdr:row>5</xdr:row>
      <xdr:rowOff>296334</xdr:rowOff>
    </xdr:to>
    <xdr:sp macro="" textlink="">
      <xdr:nvSpPr>
        <xdr:cNvPr id="6" name="Dikdörtgen 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0" y="1219200"/>
          <a:ext cx="2549313" cy="601134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140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GENEL  DURUM</a:t>
          </a:r>
        </a:p>
      </xdr:txBody>
    </xdr:sp>
    <xdr:clientData/>
  </xdr:twoCellAnchor>
  <xdr:twoCellAnchor editAs="absolute">
    <xdr:from>
      <xdr:col>8</xdr:col>
      <xdr:colOff>358774</xdr:colOff>
      <xdr:row>1</xdr:row>
      <xdr:rowOff>129116</xdr:rowOff>
    </xdr:from>
    <xdr:to>
      <xdr:col>9</xdr:col>
      <xdr:colOff>1771650</xdr:colOff>
      <xdr:row>2</xdr:row>
      <xdr:rowOff>247650</xdr:rowOff>
    </xdr:to>
    <xdr:sp macro="[0]!Module1.per_ekle" textlink="">
      <xdr:nvSpPr>
        <xdr:cNvPr id="2" name="Yuvarlatılmış Dikdörtgen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3263899" y="433916"/>
          <a:ext cx="1774826" cy="423334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20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Personel</a:t>
          </a:r>
          <a:r>
            <a:rPr lang="tr-TR" sz="1200">
              <a:solidFill>
                <a:srgbClr val="A4BE7B"/>
              </a:solidFill>
              <a:latin typeface="Congenial" panose="02000503040000020004" pitchFamily="2" charset="0"/>
            </a:rPr>
            <a:t> </a:t>
          </a:r>
          <a:r>
            <a:rPr lang="tr-TR" sz="120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Ekle</a:t>
          </a:r>
        </a:p>
      </xdr:txBody>
    </xdr:sp>
    <xdr:clientData/>
  </xdr:twoCellAnchor>
  <xdr:twoCellAnchor editAs="oneCell">
    <xdr:from>
      <xdr:col>0</xdr:col>
      <xdr:colOff>0</xdr:colOff>
      <xdr:row>0</xdr:row>
      <xdr:rowOff>209550</xdr:rowOff>
    </xdr:from>
    <xdr:to>
      <xdr:col>2</xdr:col>
      <xdr:colOff>196850</xdr:colOff>
      <xdr:row>3</xdr:row>
      <xdr:rowOff>209550</xdr:rowOff>
    </xdr:to>
    <xdr:pic>
      <xdr:nvPicPr>
        <xdr:cNvPr id="3" name="Grafik 2" descr="QR Kodu düz dolguyla">
          <a:extLst>
            <a:ext uri="{FF2B5EF4-FFF2-40B4-BE49-F238E27FC236}">
              <a16:creationId xmlns="" xmlns:a16="http://schemas.microsoft.com/office/drawing/2014/main" id="{71D8A836-B223-4612-BC52-D9EF28523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209550"/>
          <a:ext cx="914400" cy="914400"/>
        </a:xfrm>
        <a:prstGeom prst="rect">
          <a:avLst/>
        </a:prstGeom>
      </xdr:spPr>
    </xdr:pic>
    <xdr:clientData/>
  </xdr:twoCellAnchor>
  <xdr:twoCellAnchor>
    <xdr:from>
      <xdr:col>2</xdr:col>
      <xdr:colOff>190500</xdr:colOff>
      <xdr:row>0</xdr:row>
      <xdr:rowOff>295275</xdr:rowOff>
    </xdr:from>
    <xdr:to>
      <xdr:col>6</xdr:col>
      <xdr:colOff>304800</xdr:colOff>
      <xdr:row>3</xdr:row>
      <xdr:rowOff>114300</xdr:rowOff>
    </xdr:to>
    <xdr:sp macro="" textlink="">
      <xdr:nvSpPr>
        <xdr:cNvPr id="4" name="Oval 3">
          <a:extLst>
            <a:ext uri="{FF2B5EF4-FFF2-40B4-BE49-F238E27FC236}">
              <a16:creationId xmlns="" xmlns:a16="http://schemas.microsoft.com/office/drawing/2014/main" id="{C7BDA2B6-80D4-4CEE-8AC0-9D81FF2BC7AA}"/>
            </a:ext>
          </a:extLst>
        </xdr:cNvPr>
        <xdr:cNvSpPr/>
      </xdr:nvSpPr>
      <xdr:spPr>
        <a:xfrm>
          <a:off x="904875" y="295275"/>
          <a:ext cx="1524000" cy="733425"/>
        </a:xfrm>
        <a:prstGeom prst="ellipse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A4BE7B"/>
              </a:solidFill>
              <a:latin typeface="Congenial" panose="02000503040000020004" pitchFamily="2" charset="0"/>
            </a:rPr>
            <a:t>STOK TAKİP</a:t>
          </a:r>
        </a:p>
        <a:p>
          <a:pPr algn="ctr"/>
          <a:r>
            <a:rPr lang="tr-TR" sz="1100" b="1">
              <a:solidFill>
                <a:srgbClr val="A4BE7B"/>
              </a:solidFill>
              <a:latin typeface="Congenial" panose="02000503040000020004" pitchFamily="2" charset="0"/>
            </a:rPr>
            <a:t>PROGRAMI</a:t>
          </a:r>
        </a:p>
      </xdr:txBody>
    </xdr:sp>
    <xdr:clientData/>
  </xdr:twoCellAnchor>
  <xdr:twoCellAnchor editAs="oneCell">
    <xdr:from>
      <xdr:col>5</xdr:col>
      <xdr:colOff>95250</xdr:colOff>
      <xdr:row>4</xdr:row>
      <xdr:rowOff>66675</xdr:rowOff>
    </xdr:from>
    <xdr:to>
      <xdr:col>6</xdr:col>
      <xdr:colOff>277283</xdr:colOff>
      <xdr:row>5</xdr:row>
      <xdr:rowOff>293159</xdr:rowOff>
    </xdr:to>
    <xdr:pic>
      <xdr:nvPicPr>
        <xdr:cNvPr id="5" name="Grafik 4" descr="Sunu çubuk grafiği  düz dolguyla">
          <a:extLst>
            <a:ext uri="{FF2B5EF4-FFF2-40B4-BE49-F238E27FC236}">
              <a16:creationId xmlns="" xmlns:a16="http://schemas.microsoft.com/office/drawing/2014/main" id="{68C360E6-5D18-41C2-87C4-0F06BB978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866900" y="1285875"/>
          <a:ext cx="536575" cy="53128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16933</xdr:rowOff>
    </xdr:from>
    <xdr:to>
      <xdr:col>6</xdr:col>
      <xdr:colOff>347133</xdr:colOff>
      <xdr:row>9</xdr:row>
      <xdr:rowOff>8467</xdr:rowOff>
    </xdr:to>
    <xdr:grpSp>
      <xdr:nvGrpSpPr>
        <xdr:cNvPr id="19" name="Grup 18">
          <a:extLst>
            <a:ext uri="{FF2B5EF4-FFF2-40B4-BE49-F238E27FC236}">
              <a16:creationId xmlns="" xmlns:a16="http://schemas.microsoft.com/office/drawing/2014/main" id="{C71DFD49-110D-8622-FA20-130209BA59A0}"/>
            </a:ext>
          </a:extLst>
        </xdr:cNvPr>
        <xdr:cNvGrpSpPr/>
      </xdr:nvGrpSpPr>
      <xdr:grpSpPr>
        <a:xfrm>
          <a:off x="0" y="2150533"/>
          <a:ext cx="2528358" cy="601134"/>
          <a:chOff x="0" y="2150533"/>
          <a:chExt cx="2471208" cy="601134"/>
        </a:xfrm>
      </xdr:grpSpPr>
      <xdr:sp macro="" textlink="">
        <xdr:nvSpPr>
          <xdr:cNvPr id="7" name="Dikdörtgen 6">
            <a:hlinkClick xmlns:r="http://schemas.openxmlformats.org/officeDocument/2006/relationships" r:id="rId6"/>
            <a:extLst>
              <a:ext uri="{FF2B5EF4-FFF2-40B4-BE49-F238E27FC236}">
                <a16:creationId xmlns=""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0" y="2150533"/>
            <a:ext cx="2471208" cy="601134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tx1">
                <a:lumMod val="85000"/>
                <a:lumOff val="1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tr-TR" sz="1400">
                <a:solidFill>
                  <a:schemeClr val="accent3">
                    <a:lumMod val="20000"/>
                    <a:lumOff val="80000"/>
                  </a:schemeClr>
                </a:solidFill>
                <a:latin typeface="Congenial" panose="02000503040000020004" pitchFamily="2" charset="0"/>
              </a:rPr>
              <a:t>ÜRÜNLER</a:t>
            </a:r>
          </a:p>
        </xdr:txBody>
      </xdr:sp>
      <xdr:pic>
        <xdr:nvPicPr>
          <xdr:cNvPr id="10" name="Grafik 9" descr="Envanter düz dolguyla">
            <a:extLst>
              <a:ext uri="{FF2B5EF4-FFF2-40B4-BE49-F238E27FC236}">
                <a16:creationId xmlns="" xmlns:a16="http://schemas.microsoft.com/office/drawing/2014/main" id="{8B6CDC76-82CD-4006-A6C2-4B9D646704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838325" y="2165350"/>
            <a:ext cx="574674" cy="56726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16933</xdr:rowOff>
    </xdr:from>
    <xdr:to>
      <xdr:col>6</xdr:col>
      <xdr:colOff>347133</xdr:colOff>
      <xdr:row>12</xdr:row>
      <xdr:rowOff>8467</xdr:rowOff>
    </xdr:to>
    <xdr:grpSp>
      <xdr:nvGrpSpPr>
        <xdr:cNvPr id="18" name="Grup 17">
          <a:extLst>
            <a:ext uri="{FF2B5EF4-FFF2-40B4-BE49-F238E27FC236}">
              <a16:creationId xmlns="" xmlns:a16="http://schemas.microsoft.com/office/drawing/2014/main" id="{484CE1E6-1775-2E85-0BD6-C306345CFFE7}"/>
            </a:ext>
          </a:extLst>
        </xdr:cNvPr>
        <xdr:cNvGrpSpPr/>
      </xdr:nvGrpSpPr>
      <xdr:grpSpPr>
        <a:xfrm>
          <a:off x="0" y="3064933"/>
          <a:ext cx="2528358" cy="601134"/>
          <a:chOff x="0" y="3064933"/>
          <a:chExt cx="2471208" cy="601134"/>
        </a:xfrm>
      </xdr:grpSpPr>
      <xdr:sp macro="" textlink="">
        <xdr:nvSpPr>
          <xdr:cNvPr id="8" name="Dikdörtgen 7">
            <a:hlinkClick xmlns:r="http://schemas.openxmlformats.org/officeDocument/2006/relationships" r:id="rId9"/>
            <a:extLst>
              <a:ext uri="{FF2B5EF4-FFF2-40B4-BE49-F238E27FC236}">
                <a16:creationId xmlns=""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0" y="3064933"/>
            <a:ext cx="2471208" cy="601134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tx1">
                <a:lumMod val="85000"/>
                <a:lumOff val="1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tr-TR" sz="1400">
                <a:solidFill>
                  <a:schemeClr val="accent3">
                    <a:lumMod val="20000"/>
                    <a:lumOff val="80000"/>
                  </a:schemeClr>
                </a:solidFill>
                <a:latin typeface="Congenial" panose="02000503040000020004" pitchFamily="2" charset="0"/>
              </a:rPr>
              <a:t>SATIŞLAR</a:t>
            </a:r>
          </a:p>
        </xdr:txBody>
      </xdr:sp>
      <xdr:pic>
        <xdr:nvPicPr>
          <xdr:cNvPr id="11" name="Grafik 10" descr="Yazarkasa düz dolguyla">
            <a:extLst>
              <a:ext uri="{FF2B5EF4-FFF2-40B4-BE49-F238E27FC236}">
                <a16:creationId xmlns="" xmlns:a16="http://schemas.microsoft.com/office/drawing/2014/main" id="{FF16DEA5-6B34-40D3-ADC5-6EA8FE68B2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828800" y="3082925"/>
            <a:ext cx="536575" cy="531284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296333</xdr:rowOff>
    </xdr:from>
    <xdr:to>
      <xdr:col>6</xdr:col>
      <xdr:colOff>347133</xdr:colOff>
      <xdr:row>14</xdr:row>
      <xdr:rowOff>287867</xdr:rowOff>
    </xdr:to>
    <xdr:grpSp>
      <xdr:nvGrpSpPr>
        <xdr:cNvPr id="17" name="Grup 16">
          <a:extLst>
            <a:ext uri="{FF2B5EF4-FFF2-40B4-BE49-F238E27FC236}">
              <a16:creationId xmlns="" xmlns:a16="http://schemas.microsoft.com/office/drawing/2014/main" id="{3802E231-988E-26CD-F061-FDD28A317ED3}"/>
            </a:ext>
          </a:extLst>
        </xdr:cNvPr>
        <xdr:cNvGrpSpPr/>
      </xdr:nvGrpSpPr>
      <xdr:grpSpPr>
        <a:xfrm>
          <a:off x="0" y="3953933"/>
          <a:ext cx="2528358" cy="601134"/>
          <a:chOff x="0" y="3953933"/>
          <a:chExt cx="2471208" cy="601134"/>
        </a:xfrm>
      </xdr:grpSpPr>
      <xdr:sp macro="" textlink="">
        <xdr:nvSpPr>
          <xdr:cNvPr id="9" name="Dikdörtgen 8">
            <a:extLst>
              <a:ext uri="{FF2B5EF4-FFF2-40B4-BE49-F238E27FC236}">
                <a16:creationId xmlns=""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0" y="3953933"/>
            <a:ext cx="2471208" cy="601134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tx1">
                <a:lumMod val="85000"/>
                <a:lumOff val="1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tr-TR" sz="1400">
                <a:solidFill>
                  <a:schemeClr val="accent3">
                    <a:lumMod val="20000"/>
                    <a:lumOff val="80000"/>
                  </a:schemeClr>
                </a:solidFill>
                <a:latin typeface="Congenial" panose="02000503040000020004" pitchFamily="2" charset="0"/>
              </a:rPr>
              <a:t>PERSONELLER</a:t>
            </a:r>
          </a:p>
        </xdr:txBody>
      </xdr:sp>
      <xdr:pic>
        <xdr:nvPicPr>
          <xdr:cNvPr id="12" name="Grafik 11" descr="Bir grup kadın düz dolguyla">
            <a:extLst>
              <a:ext uri="{FF2B5EF4-FFF2-40B4-BE49-F238E27FC236}">
                <a16:creationId xmlns="" xmlns:a16="http://schemas.microsoft.com/office/drawing/2014/main" id="{A67D2FC4-C38D-4AC9-8590-526D3A8272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790700" y="3962400"/>
            <a:ext cx="565150" cy="55985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20108</xdr:rowOff>
    </xdr:from>
    <xdr:to>
      <xdr:col>6</xdr:col>
      <xdr:colOff>347133</xdr:colOff>
      <xdr:row>22</xdr:row>
      <xdr:rowOff>11642</xdr:rowOff>
    </xdr:to>
    <xdr:grpSp>
      <xdr:nvGrpSpPr>
        <xdr:cNvPr id="16" name="Grup 15">
          <a:extLst>
            <a:ext uri="{FF2B5EF4-FFF2-40B4-BE49-F238E27FC236}">
              <a16:creationId xmlns="" xmlns:a16="http://schemas.microsoft.com/office/drawing/2014/main" id="{382BA0ED-6A59-2C61-6A3F-12BEDF92C7B4}"/>
            </a:ext>
          </a:extLst>
        </xdr:cNvPr>
        <xdr:cNvGrpSpPr/>
      </xdr:nvGrpSpPr>
      <xdr:grpSpPr>
        <a:xfrm>
          <a:off x="0" y="6116108"/>
          <a:ext cx="2528358" cy="601134"/>
          <a:chOff x="0" y="6116108"/>
          <a:chExt cx="2471208" cy="601134"/>
        </a:xfrm>
      </xdr:grpSpPr>
      <xdr:sp macro="[0]!cikis" textlink="">
        <xdr:nvSpPr>
          <xdr:cNvPr id="13" name="Dikdörtgen 12">
            <a:extLst>
              <a:ext uri="{FF2B5EF4-FFF2-40B4-BE49-F238E27FC236}">
                <a16:creationId xmlns="" xmlns:a16="http://schemas.microsoft.com/office/drawing/2014/main" id="{82B4853A-1630-C6A2-6BCF-E656B7D4DFBF}"/>
              </a:ext>
            </a:extLst>
          </xdr:cNvPr>
          <xdr:cNvSpPr/>
        </xdr:nvSpPr>
        <xdr:spPr>
          <a:xfrm>
            <a:off x="0" y="6116108"/>
            <a:ext cx="2471208" cy="601134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tx1">
                <a:lumMod val="85000"/>
                <a:lumOff val="1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tr-TR" sz="1400">
                <a:solidFill>
                  <a:schemeClr val="accent3">
                    <a:lumMod val="20000"/>
                    <a:lumOff val="80000"/>
                  </a:schemeClr>
                </a:solidFill>
                <a:latin typeface="Congenial" panose="02000503040000020004" pitchFamily="2" charset="0"/>
              </a:rPr>
              <a:t>ÇIKIŞ</a:t>
            </a:r>
          </a:p>
        </xdr:txBody>
      </xdr:sp>
      <xdr:pic macro="[0]!cikis">
        <xdr:nvPicPr>
          <xdr:cNvPr id="15" name="Grafik 14" descr="Çıkış düz dolguyla">
            <a:extLst>
              <a:ext uri="{FF2B5EF4-FFF2-40B4-BE49-F238E27FC236}">
                <a16:creationId xmlns="" xmlns:a16="http://schemas.microsoft.com/office/drawing/2014/main" id="{C6DC89AA-D466-A525-C3AC-314C4EEA7C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905000" y="6162675"/>
            <a:ext cx="466725" cy="466725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28575</xdr:colOff>
      <xdr:row>1</xdr:row>
      <xdr:rowOff>133350</xdr:rowOff>
    </xdr:from>
    <xdr:to>
      <xdr:col>10</xdr:col>
      <xdr:colOff>1790700</xdr:colOff>
      <xdr:row>2</xdr:row>
      <xdr:rowOff>238125</xdr:rowOff>
    </xdr:to>
    <xdr:sp macro="[0]!personelguncelle" textlink="">
      <xdr:nvSpPr>
        <xdr:cNvPr id="14" name="Dikdörtgen: Köşeleri Yuvarlatılmış 13">
          <a:extLst>
            <a:ext uri="{FF2B5EF4-FFF2-40B4-BE49-F238E27FC236}">
              <a16:creationId xmlns="" xmlns:a16="http://schemas.microsoft.com/office/drawing/2014/main" id="{6F8A2BD9-12BC-8245-6F73-AAE860D999F5}"/>
            </a:ext>
          </a:extLst>
        </xdr:cNvPr>
        <xdr:cNvSpPr/>
      </xdr:nvSpPr>
      <xdr:spPr>
        <a:xfrm>
          <a:off x="5372100" y="438150"/>
          <a:ext cx="1762125" cy="409575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Personel</a:t>
          </a:r>
          <a:r>
            <a:rPr lang="tr-TR" sz="1200" baseline="0">
              <a:solidFill>
                <a:schemeClr val="accent3">
                  <a:lumMod val="20000"/>
                  <a:lumOff val="80000"/>
                </a:schemeClr>
              </a:solidFill>
              <a:latin typeface="Congenial" panose="02000503040000020004" pitchFamily="2" charset="0"/>
            </a:rPr>
            <a:t> Güncelle</a:t>
          </a:r>
          <a:endParaRPr lang="tr-TR" sz="1200">
            <a:solidFill>
              <a:schemeClr val="accent3">
                <a:lumMod val="20000"/>
                <a:lumOff val="80000"/>
              </a:schemeClr>
            </a:solidFill>
            <a:latin typeface="Congenial" panose="02000503040000020004" pitchFamily="2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220980</xdr:colOff>
      <xdr:row>10</xdr:row>
      <xdr:rowOff>83820</xdr:rowOff>
    </xdr:from>
    <xdr:to>
      <xdr:col>4</xdr:col>
      <xdr:colOff>403860</xdr:colOff>
      <xdr:row>25</xdr:row>
      <xdr:rowOff>83820</xdr:rowOff>
    </xdr:to>
    <xdr:graphicFrame macro="">
      <xdr:nvGraphicFramePr>
        <xdr:cNvPr id="5" name="Grafik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548640</xdr:colOff>
      <xdr:row>13</xdr:row>
      <xdr:rowOff>167640</xdr:rowOff>
    </xdr:from>
    <xdr:to>
      <xdr:col>15</xdr:col>
      <xdr:colOff>563880</xdr:colOff>
      <xdr:row>28</xdr:row>
      <xdr:rowOff>167640</xdr:rowOff>
    </xdr:to>
    <xdr:graphicFrame macro="">
      <xdr:nvGraphicFramePr>
        <xdr:cNvPr id="6" name="Grafik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60960</xdr:colOff>
      <xdr:row>9</xdr:row>
      <xdr:rowOff>91440</xdr:rowOff>
    </xdr:from>
    <xdr:to>
      <xdr:col>23</xdr:col>
      <xdr:colOff>571500</xdr:colOff>
      <xdr:row>20</xdr:row>
      <xdr:rowOff>53340</xdr:rowOff>
    </xdr:to>
    <xdr:graphicFrame macro="">
      <xdr:nvGraphicFramePr>
        <xdr:cNvPr id="7" name="Grafik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Desktop\StokKay&#305;t(g&#252;ncellemeli).xlsb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Desktop\ofis\StokKay&#305;t.xlsb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azar" refreshedDate="44921.514046759257" createdVersion="5" refreshedVersion="5" minRefreshableVersion="3" recordCount="14">
  <cacheSource type="worksheet">
    <worksheetSource name="Tablo2" r:id="rId2"/>
  </cacheSource>
  <cacheFields count="8">
    <cacheField name="Tarih" numFmtId="0">
      <sharedItems containsDate="1" containsMixedTypes="1" minDate="2022-03-14T00:00:00" maxDate="2022-03-19T00:00:00"/>
    </cacheField>
    <cacheField name="Satış Personeli" numFmtId="0">
      <sharedItems count="7">
        <s v="Musa Topak"/>
        <s v="Cemre Karakurt"/>
        <s v="Uğur Kandemir"/>
        <s v="Samet Gökbuğa"/>
        <s v="Rabia Bilgi"/>
        <s v="Elif Yılmaz"/>
        <s v="Cemre" u="1"/>
      </sharedItems>
    </cacheField>
    <cacheField name="Müşteri Konumu" numFmtId="0">
      <sharedItems count="7">
        <s v="İstanbul"/>
        <s v="İzmir"/>
        <s v="Bursa"/>
        <s v="Aydın"/>
        <s v="Muğla"/>
        <s v="Antalya"/>
        <s v="Mersin"/>
      </sharedItems>
    </cacheField>
    <cacheField name="Marka" numFmtId="0">
      <sharedItems count="4">
        <s v="Apple"/>
        <s v="Samsung"/>
        <s v="Xiaomi"/>
        <s v="Oppo"/>
      </sharedItems>
    </cacheField>
    <cacheField name="Model" numFmtId="0">
      <sharedItems count="10">
        <s v="İphone 11"/>
        <s v="iphone 12"/>
        <s v="iphone 13"/>
        <s v="iphone 13 pro"/>
        <s v="Galaxy S21+"/>
        <s v="Galaxy S21"/>
        <s v="iphone 11"/>
        <s v="Galaxy Note 20"/>
        <s v="Redmi Note 10 Lite"/>
        <s v="Rino 2"/>
      </sharedItems>
    </cacheField>
    <cacheField name="Fiyat" numFmtId="165">
      <sharedItems containsSemiMixedTypes="0" containsString="0" containsNumber="1" containsInteger="1" minValue="14000" maxValue="25650"/>
    </cacheField>
    <cacheField name="Adet" numFmtId="0">
      <sharedItems containsSemiMixedTypes="0" containsString="0" containsNumber="1" containsInteger="1" minValue="2" maxValue="45"/>
    </cacheField>
    <cacheField name="Toplam Tutar" numFmtId="164">
      <sharedItems containsSemiMixedTypes="0" containsString="0" containsNumber="1" containsInteger="1" minValue="28000" maxValue="1026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Yazar" refreshedDate="44928.91907152778" createdVersion="5" refreshedVersion="5" minRefreshableVersion="3" recordCount="20">
  <cacheSource type="worksheet">
    <worksheetSource name="Tablo2" r:id="rId2"/>
  </cacheSource>
  <cacheFields count="8">
    <cacheField name="Tarih" numFmtId="0">
      <sharedItems containsDate="1" containsMixedTypes="1" minDate="2022-03-14T00:00:00" maxDate="2022-03-15T00:00:00"/>
    </cacheField>
    <cacheField name="Satış Personeli" numFmtId="0">
      <sharedItems count="7">
        <s v="Musa Topak"/>
        <s v="Cemre Karakurt"/>
        <s v="Uğur Kandemir"/>
        <s v="Samet Gökbuğa"/>
        <s v="Rabia Bilgi"/>
        <s v="Elif Yılmaz"/>
        <s v="Rabia  Bilgi" u="1"/>
      </sharedItems>
    </cacheField>
    <cacheField name="Müşteri Konumu" numFmtId="0">
      <sharedItems count="9">
        <s v="İstanbul"/>
        <s v="İzmir"/>
        <s v="Bursa"/>
        <s v="Aydın"/>
        <s v="Muğla"/>
        <s v="Antalya"/>
        <s v="Mersin"/>
        <s v="Ankara"/>
        <s v="Manisa"/>
      </sharedItems>
    </cacheField>
    <cacheField name="Marka" numFmtId="0">
      <sharedItems count="5">
        <s v="Apple"/>
        <s v="Samsung"/>
        <s v="Xiaomi"/>
        <s v="Oppo"/>
        <s v="Huawei"/>
      </sharedItems>
    </cacheField>
    <cacheField name="Model" numFmtId="0">
      <sharedItems count="14">
        <s v="İphone 11"/>
        <s v="iphone 12"/>
        <s v="iphone 13"/>
        <s v="iphone 13 pro"/>
        <s v="Galaxy S21+"/>
        <s v="Galaxy S21"/>
        <s v="iphone 11"/>
        <s v="Galaxy Note 20"/>
        <s v="Redmi Note 10 Lite"/>
        <s v="Rino 2"/>
        <s v="iphone X"/>
        <s v="A96"/>
        <s v="Nova 10"/>
        <s v="Redmi Note 10 Pro" u="1"/>
      </sharedItems>
    </cacheField>
    <cacheField name="Fiyat" numFmtId="165">
      <sharedItems containsSemiMixedTypes="0" containsString="0" containsNumber="1" containsInteger="1" minValue="10300" maxValue="25650"/>
    </cacheField>
    <cacheField name="Adet" numFmtId="0">
      <sharedItems containsSemiMixedTypes="0" containsString="0" containsNumber="1" containsInteger="1" minValue="2" maxValue="50"/>
    </cacheField>
    <cacheField name="Toplam Tutar" numFmtId="164">
      <sharedItems containsSemiMixedTypes="0" containsString="0" containsNumber="1" containsInteger="1" minValue="28000" maxValue="1026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s v="2.03.2022"/>
    <x v="0"/>
    <x v="0"/>
    <x v="0"/>
    <x v="0"/>
    <n v="16150"/>
    <n v="35"/>
    <n v="565250"/>
  </r>
  <r>
    <s v="26.03.2022"/>
    <x v="1"/>
    <x v="0"/>
    <x v="0"/>
    <x v="1"/>
    <n v="18050"/>
    <n v="38"/>
    <n v="685900"/>
  </r>
  <r>
    <s v="2.02.2022"/>
    <x v="2"/>
    <x v="1"/>
    <x v="0"/>
    <x v="2"/>
    <n v="22800"/>
    <n v="45"/>
    <n v="1026000"/>
  </r>
  <r>
    <s v="5.01.2022"/>
    <x v="3"/>
    <x v="2"/>
    <x v="0"/>
    <x v="3"/>
    <n v="25650"/>
    <n v="21"/>
    <n v="538650"/>
  </r>
  <r>
    <s v="13.01.2022"/>
    <x v="1"/>
    <x v="3"/>
    <x v="1"/>
    <x v="4"/>
    <n v="23446"/>
    <n v="13"/>
    <n v="304798"/>
  </r>
  <r>
    <s v="10.02.2022"/>
    <x v="0"/>
    <x v="2"/>
    <x v="1"/>
    <x v="5"/>
    <n v="17970"/>
    <n v="16"/>
    <n v="287520"/>
  </r>
  <r>
    <d v="2022-03-18T00:00:00"/>
    <x v="4"/>
    <x v="4"/>
    <x v="0"/>
    <x v="6"/>
    <n v="16150"/>
    <n v="12"/>
    <n v="193800"/>
  </r>
  <r>
    <d v="2022-03-14T00:00:00"/>
    <x v="1"/>
    <x v="1"/>
    <x v="1"/>
    <x v="7"/>
    <n v="15950"/>
    <n v="20"/>
    <n v="319000"/>
  </r>
  <r>
    <s v="25.01.2022"/>
    <x v="5"/>
    <x v="5"/>
    <x v="2"/>
    <x v="8"/>
    <n v="14545"/>
    <n v="20"/>
    <n v="290900"/>
  </r>
  <r>
    <s v="22.04.2022"/>
    <x v="5"/>
    <x v="6"/>
    <x v="1"/>
    <x v="5"/>
    <n v="17970"/>
    <n v="23"/>
    <n v="413310"/>
  </r>
  <r>
    <s v="29.12.2022"/>
    <x v="1"/>
    <x v="1"/>
    <x v="3"/>
    <x v="9"/>
    <n v="14000"/>
    <n v="40"/>
    <n v="560000"/>
  </r>
  <r>
    <s v="2.02.2022"/>
    <x v="2"/>
    <x v="1"/>
    <x v="0"/>
    <x v="2"/>
    <n v="22800"/>
    <n v="25"/>
    <n v="570000"/>
  </r>
  <r>
    <s v="12.04.2022"/>
    <x v="1"/>
    <x v="5"/>
    <x v="3"/>
    <x v="9"/>
    <n v="14000"/>
    <n v="2"/>
    <n v="28000"/>
  </r>
  <r>
    <s v="16.04.2022"/>
    <x v="4"/>
    <x v="5"/>
    <x v="2"/>
    <x v="8"/>
    <n v="14545"/>
    <n v="20"/>
    <n v="2909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">
  <r>
    <s v="2.03.2022"/>
    <x v="0"/>
    <x v="0"/>
    <x v="0"/>
    <x v="0"/>
    <n v="16150"/>
    <n v="35"/>
    <n v="565250"/>
  </r>
  <r>
    <s v="26.03.2022"/>
    <x v="1"/>
    <x v="0"/>
    <x v="0"/>
    <x v="1"/>
    <n v="18050"/>
    <n v="38"/>
    <n v="685900"/>
  </r>
  <r>
    <s v="2.02.2022"/>
    <x v="2"/>
    <x v="1"/>
    <x v="0"/>
    <x v="2"/>
    <n v="22800"/>
    <n v="45"/>
    <n v="1026000"/>
  </r>
  <r>
    <s v="5.01.2022"/>
    <x v="3"/>
    <x v="2"/>
    <x v="0"/>
    <x v="3"/>
    <n v="25650"/>
    <n v="21"/>
    <n v="538650"/>
  </r>
  <r>
    <s v="13.01.2022"/>
    <x v="1"/>
    <x v="3"/>
    <x v="1"/>
    <x v="4"/>
    <n v="23446"/>
    <n v="13"/>
    <n v="304798"/>
  </r>
  <r>
    <s v="10.02.2022"/>
    <x v="0"/>
    <x v="2"/>
    <x v="1"/>
    <x v="5"/>
    <n v="17970"/>
    <n v="16"/>
    <n v="287520"/>
  </r>
  <r>
    <s v="18.03.2022"/>
    <x v="4"/>
    <x v="4"/>
    <x v="0"/>
    <x v="6"/>
    <n v="16150"/>
    <n v="10"/>
    <n v="161500"/>
  </r>
  <r>
    <d v="2022-03-14T00:00:00"/>
    <x v="1"/>
    <x v="1"/>
    <x v="1"/>
    <x v="7"/>
    <n v="15950"/>
    <n v="20"/>
    <n v="319000"/>
  </r>
  <r>
    <s v="25.01.2022"/>
    <x v="5"/>
    <x v="5"/>
    <x v="2"/>
    <x v="8"/>
    <n v="14545"/>
    <n v="20"/>
    <n v="290900"/>
  </r>
  <r>
    <s v="22.04.2022"/>
    <x v="5"/>
    <x v="6"/>
    <x v="1"/>
    <x v="5"/>
    <n v="17970"/>
    <n v="23"/>
    <n v="413310"/>
  </r>
  <r>
    <s v="29.12.2022"/>
    <x v="1"/>
    <x v="1"/>
    <x v="3"/>
    <x v="9"/>
    <n v="14000"/>
    <n v="40"/>
    <n v="560000"/>
  </r>
  <r>
    <s v="2.02.2022"/>
    <x v="2"/>
    <x v="1"/>
    <x v="0"/>
    <x v="2"/>
    <n v="22800"/>
    <n v="25"/>
    <n v="570000"/>
  </r>
  <r>
    <s v="12.04.2022"/>
    <x v="1"/>
    <x v="5"/>
    <x v="3"/>
    <x v="9"/>
    <n v="14000"/>
    <n v="2"/>
    <n v="28000"/>
  </r>
  <r>
    <s v="16.04.2022"/>
    <x v="4"/>
    <x v="5"/>
    <x v="2"/>
    <x v="8"/>
    <n v="14545"/>
    <n v="20"/>
    <n v="290900"/>
  </r>
  <r>
    <s v="20.06.2022"/>
    <x v="3"/>
    <x v="7"/>
    <x v="0"/>
    <x v="10"/>
    <n v="19000"/>
    <n v="20"/>
    <n v="380000"/>
  </r>
  <r>
    <s v="23.02.2022"/>
    <x v="1"/>
    <x v="5"/>
    <x v="1"/>
    <x v="5"/>
    <n v="17970"/>
    <n v="13"/>
    <n v="233610"/>
  </r>
  <r>
    <s v="20.02.2022"/>
    <x v="3"/>
    <x v="7"/>
    <x v="3"/>
    <x v="9"/>
    <n v="14000"/>
    <n v="25"/>
    <n v="350000"/>
  </r>
  <r>
    <s v="06.05.2022"/>
    <x v="5"/>
    <x v="8"/>
    <x v="3"/>
    <x v="9"/>
    <n v="14000"/>
    <n v="15"/>
    <n v="210000"/>
  </r>
  <r>
    <s v="16.05.2022"/>
    <x v="4"/>
    <x v="4"/>
    <x v="3"/>
    <x v="11"/>
    <n v="10300"/>
    <n v="50"/>
    <n v="515000"/>
  </r>
  <r>
    <s v="09.06.2022"/>
    <x v="2"/>
    <x v="6"/>
    <x v="4"/>
    <x v="12"/>
    <n v="13600"/>
    <n v="50"/>
    <n v="68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Değerler" updatedVersion="5" minRefreshableVersion="3" useAutoFormatting="1" itemPrintTitles="1" createdVersion="5" indent="0" outline="1" outlineData="1" multipleFieldFilters="0" chartFormat="8">
  <location ref="A3:C10" firstHeaderRow="0" firstDataRow="1" firstDataCol="1"/>
  <pivotFields count="8">
    <pivotField showAll="0"/>
    <pivotField axis="axisRow" showAll="0" sortType="ascending">
      <items count="8">
        <item x="1"/>
        <item x="5"/>
        <item x="0"/>
        <item x="4"/>
        <item x="3"/>
        <item x="2"/>
        <item m="1" x="6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numFmtId="165" showAll="0"/>
    <pivotField dataField="1" showAll="0"/>
    <pivotField dataField="1" numFmtId="164" showAll="0"/>
  </pivotFields>
  <rowFields count="1">
    <field x="1"/>
  </rowFields>
  <rowItems count="7">
    <i>
      <x v="2"/>
    </i>
    <i>
      <x v="1"/>
    </i>
    <i>
      <x v="3"/>
    </i>
    <i>
      <x v="4"/>
    </i>
    <i>
      <x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Toplam Adet" fld="6" baseField="0" baseItem="0"/>
    <dataField name="Toplam Toplam Tutar" fld="7" baseField="0" baseItem="0" numFmtId="166"/>
  </dataFields>
  <chartFormats count="6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Değerler" updatedVersion="5" minRefreshableVersion="3" useAutoFormatting="1" itemPrintTitles="1" createdVersion="5" indent="0" outline="1" outlineData="1" multipleFieldFilters="0" chartFormat="21">
  <location ref="BC4:BE21" firstHeaderRow="1" firstDataRow="1" firstDataCol="0"/>
  <pivotFields count="8">
    <pivotField showAll="0"/>
    <pivotField showAll="0"/>
    <pivotField showAll="0"/>
    <pivotField showAll="0"/>
    <pivotField showAll="0">
      <items count="11">
        <item x="7"/>
        <item x="5"/>
        <item x="4"/>
        <item x="0"/>
        <item x="6"/>
        <item x="1"/>
        <item x="2"/>
        <item x="3"/>
        <item x="8"/>
        <item x="9"/>
        <item t="default"/>
      </items>
    </pivotField>
    <pivotField numFmtId="165" showAll="0"/>
    <pivotField showAll="0"/>
    <pivotField numFmtId="164" showAll="0"/>
  </pivot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9" cacheId="1" applyNumberFormats="0" applyBorderFormats="0" applyFontFormats="0" applyPatternFormats="0" applyAlignmentFormats="0" applyWidthHeightFormats="1" dataCaption="Değerler" updatedVersion="5" minRefreshableVersion="3" useAutoFormatting="1" itemPrintTitles="1" createdVersion="5" indent="0" outline="1" outlineData="1" multipleFieldFilters="0" chartFormat="14">
  <location ref="Y3:Z17" firstHeaderRow="1" firstDataRow="1" firstDataCol="1"/>
  <pivotFields count="8">
    <pivotField showAll="0"/>
    <pivotField showAll="0"/>
    <pivotField showAll="0"/>
    <pivotField showAll="0"/>
    <pivotField axis="axisRow" showAll="0" sortType="descending">
      <items count="15">
        <item x="7"/>
        <item x="5"/>
        <item x="4"/>
        <item x="0"/>
        <item x="6"/>
        <item x="1"/>
        <item x="2"/>
        <item x="3"/>
        <item x="10"/>
        <item x="8"/>
        <item x="9"/>
        <item m="1" x="13"/>
        <item x="11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5" showAll="0"/>
    <pivotField showAll="0"/>
    <pivotField dataField="1" numFmtId="164" showAll="0"/>
  </pivotFields>
  <rowFields count="1">
    <field x="4"/>
  </rowFields>
  <rowItems count="14">
    <i>
      <x v="6"/>
    </i>
    <i>
      <x v="10"/>
    </i>
    <i>
      <x v="1"/>
    </i>
    <i>
      <x v="5"/>
    </i>
    <i>
      <x v="13"/>
    </i>
    <i>
      <x v="9"/>
    </i>
    <i>
      <x v="3"/>
    </i>
    <i>
      <x v="7"/>
    </i>
    <i>
      <x v="12"/>
    </i>
    <i>
      <x v="8"/>
    </i>
    <i>
      <x/>
    </i>
    <i>
      <x v="2"/>
    </i>
    <i>
      <x v="4"/>
    </i>
    <i t="grand">
      <x/>
    </i>
  </rowItems>
  <colItems count="1">
    <i/>
  </colItems>
  <dataFields count="1">
    <dataField name="Toplam Toplam Tutar" fld="7" baseField="0" baseItem="0"/>
  </dataFields>
  <chartFormats count="2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8" cacheId="1" applyNumberFormats="0" applyBorderFormats="0" applyFontFormats="0" applyPatternFormats="0" applyAlignmentFormats="0" applyWidthHeightFormats="1" dataCaption="Değerler" updatedVersion="5" minRefreshableVersion="3" useAutoFormatting="1" itemPrintTitles="1" createdVersion="5" indent="0" outline="1" outlineData="1" multipleFieldFilters="0" chartFormat="14">
  <location ref="V3:W9" firstHeaderRow="1" firstDataRow="1" firstDataCol="1"/>
  <pivotFields count="8">
    <pivotField showAll="0"/>
    <pivotField showAll="0"/>
    <pivotField showAll="0"/>
    <pivotField axis="axisRow" showAll="0">
      <items count="6">
        <item x="0"/>
        <item x="3"/>
        <item x="1"/>
        <item x="2"/>
        <item x="4"/>
        <item t="default"/>
      </items>
    </pivotField>
    <pivotField showAll="0"/>
    <pivotField numFmtId="165" showAll="0"/>
    <pivotField showAll="0"/>
    <pivotField dataField="1" numFmtId="164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Toplam Toplam Tutar" fld="7" baseField="0" baseItem="0"/>
  </dataFields>
  <chartFormats count="11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3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3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3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8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8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13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Değerler" updatedVersion="5" minRefreshableVersion="3" useAutoFormatting="1" itemPrintTitles="1" createdVersion="5" indent="0" outline="1" outlineData="1" multipleFieldFilters="0" chartFormat="15">
  <location ref="BI4:BK21" firstHeaderRow="1" firstDataRow="1" firstDataCol="0"/>
  <pivotFields count="8">
    <pivotField showAll="0"/>
    <pivotField showAll="0"/>
    <pivotField showAll="0">
      <items count="8">
        <item x="5"/>
        <item x="3"/>
        <item x="2"/>
        <item x="0"/>
        <item x="1"/>
        <item x="6"/>
        <item x="4"/>
        <item t="default"/>
      </items>
    </pivotField>
    <pivotField showAll="0"/>
    <pivotField showAll="0">
      <items count="11">
        <item x="7"/>
        <item x="5"/>
        <item x="4"/>
        <item x="0"/>
        <item x="6"/>
        <item x="1"/>
        <item x="2"/>
        <item x="3"/>
        <item x="8"/>
        <item x="9"/>
        <item t="default"/>
      </items>
    </pivotField>
    <pivotField numFmtId="165" showAll="0"/>
    <pivotField showAll="0"/>
    <pivotField numFmtId="164" showAll="0"/>
  </pivot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Değerler" updatedVersion="5" minRefreshableVersion="3" useAutoFormatting="1" itemPrintTitles="1" createdVersion="5" indent="0" outline="1" outlineData="1" multipleFieldFilters="0" chartFormat="11">
  <location ref="BL4:BN21" firstHeaderRow="1" firstDataRow="1" firstDataCol="0"/>
  <pivotFields count="8">
    <pivotField showAll="0"/>
    <pivotField showAll="0">
      <items count="8">
        <item x="1"/>
        <item x="5"/>
        <item x="0"/>
        <item x="4"/>
        <item x="3"/>
        <item x="2"/>
        <item m="1" x="6"/>
        <item t="default"/>
      </items>
    </pivotField>
    <pivotField showAll="0"/>
    <pivotField showAll="0"/>
    <pivotField showAll="0"/>
    <pivotField numFmtId="165" showAll="0"/>
    <pivotField showAll="0"/>
    <pivotField numFmtId="164" showAll="0"/>
  </pivot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6" cacheId="1" applyNumberFormats="0" applyBorderFormats="0" applyFontFormats="0" applyPatternFormats="0" applyAlignmentFormats="0" applyWidthHeightFormats="1" dataCaption="Değerler" updatedVersion="5" minRefreshableVersion="3" useAutoFormatting="1" itemPrintTitles="1" createdVersion="5" indent="0" outline="1" outlineData="1" multipleFieldFilters="0" chartFormat="8">
  <location ref="H3:U14" firstHeaderRow="1" firstDataRow="2" firstDataCol="1"/>
  <pivotFields count="8">
    <pivotField showAll="0"/>
    <pivotField showAll="0"/>
    <pivotField axis="axisRow" showAll="0">
      <items count="10">
        <item x="5"/>
        <item x="0"/>
        <item x="1"/>
        <item x="7"/>
        <item x="3"/>
        <item x="2"/>
        <item x="6"/>
        <item x="4"/>
        <item x="8"/>
        <item t="default"/>
      </items>
    </pivotField>
    <pivotField showAll="0"/>
    <pivotField axis="axisCol" showAll="0">
      <items count="15">
        <item x="7"/>
        <item x="5"/>
        <item x="4"/>
        <item x="0"/>
        <item x="6"/>
        <item x="1"/>
        <item x="2"/>
        <item x="3"/>
        <item x="10"/>
        <item x="8"/>
        <item x="9"/>
        <item m="1" x="13"/>
        <item x="11"/>
        <item x="12"/>
        <item t="default"/>
      </items>
    </pivotField>
    <pivotField numFmtId="165" showAll="0"/>
    <pivotField dataField="1" showAll="0"/>
    <pivotField numFmtId="164" showAll="0"/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4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 t="grand">
      <x/>
    </i>
  </colItems>
  <dataFields count="1">
    <dataField name="Toplam Adet" fld="6" baseField="0" baseItem="0"/>
  </dataFields>
  <chartFormats count="28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4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7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7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7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7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7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7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7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7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7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7" format="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7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4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4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7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7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Değerler" updatedVersion="5" minRefreshableVersion="3" useAutoFormatting="1" itemPrintTitles="1" createdVersion="5" indent="0" outline="1" outlineData="1" multipleFieldFilters="0" chartFormat="21">
  <location ref="BF4:BH21" firstHeaderRow="1" firstDataRow="1" firstDataCol="0"/>
  <pivotFields count="8">
    <pivotField showAll="0"/>
    <pivotField showAll="0"/>
    <pivotField showAll="0"/>
    <pivotField showAll="0">
      <items count="5">
        <item x="0"/>
        <item x="3"/>
        <item x="1"/>
        <item x="2"/>
        <item t="default"/>
      </items>
    </pivotField>
    <pivotField showAll="0"/>
    <pivotField numFmtId="165" showAll="0"/>
    <pivotField showAll="0"/>
    <pivotField numFmtId="164" showAll="0"/>
  </pivot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o1" displayName="Tablo1" ref="J5:M21" totalsRowShown="0" headerRowDxfId="30" dataDxfId="29">
  <autoFilter ref="J5:M21">
    <filterColumn colId="0" hiddenButton="1"/>
    <filterColumn colId="1" hiddenButton="1"/>
    <filterColumn colId="2" hiddenButton="1"/>
    <filterColumn colId="3" hiddenButton="1"/>
  </autoFilter>
  <tableColumns count="4">
    <tableColumn id="1" name="Marka" dataDxfId="28"/>
    <tableColumn id="2" name="Model" dataDxfId="27"/>
    <tableColumn id="3" name="Fiyat" dataDxfId="26"/>
    <tableColumn id="4" name="Güncel Stok" dataDxfId="25">
      <calculatedColumnFormula>Tablolar!A41-Tablolar!B41</calculatedColumnFormula>
    </tableColumn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4" name="Tablo4" displayName="Tablo4" ref="O5:R28" totalsRowShown="0" headerRowDxfId="24" dataDxfId="23">
  <autoFilter ref="O5:R28">
    <filterColumn colId="0" hiddenButton="1"/>
    <filterColumn colId="1" hiddenButton="1"/>
    <filterColumn colId="2" hiddenButton="1"/>
    <filterColumn colId="3" hiddenButton="1"/>
  </autoFilter>
  <tableColumns count="4">
    <tableColumn id="1" name="Marka " dataDxfId="22"/>
    <tableColumn id="2" name="Model" dataDxfId="21"/>
    <tableColumn id="3" name="Fiyat" dataDxfId="20"/>
    <tableColumn id="4" name="Girilen Adet" dataDxfId="19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2" name="Tablo2" displayName="Tablo2" ref="J5:Q26" totalsRowShown="0" headerRowDxfId="18" dataDxfId="17" tableBorderDxfId="16">
  <autoFilter ref="J5:Q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Tarih" dataDxfId="15"/>
    <tableColumn id="2" name="Satış Personeli" dataDxfId="14"/>
    <tableColumn id="3" name="Müşteri Konumu" dataDxfId="13"/>
    <tableColumn id="4" name="Marka" dataDxfId="12"/>
    <tableColumn id="5" name="Model" dataDxfId="11"/>
    <tableColumn id="6" name="Fiyat" dataDxfId="10"/>
    <tableColumn id="7" name="Adet" dataDxfId="9"/>
    <tableColumn id="8" name="Toplam Tutar" dataDxfId="8">
      <calculatedColumnFormula>Tablo2[[#This Row],[Fiyat]]*Tablo2[[#This Row],[Adet]]</calculatedColumnFormula>
    </tableColumn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3" name="Tablo3" displayName="Tablo3" ref="J5:K13" totalsRowShown="0" headerRowDxfId="7" dataDxfId="6">
  <autoFilter ref="J5:K13">
    <filterColumn colId="0" hiddenButton="1"/>
    <filterColumn colId="1" hiddenButton="1"/>
  </autoFilter>
  <tableColumns count="2">
    <tableColumn id="1" name="Ad Soyad" dataDxfId="5"/>
    <tableColumn id="2" name="Bölge" dataDxfId="4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5" name="Tablo5" displayName="Tablo5" ref="A40:B77" totalsRowShown="0" headerRowDxfId="3" dataDxfId="2">
  <autoFilter ref="A40:B77"/>
  <tableColumns count="2">
    <tableColumn id="1" name="giren toplam" dataDxfId="1">
      <calculatedColumnFormula>SUMIFS(Tablo4[Girilen Adet],Tablo4[Model],Ürünler!K6)</calculatedColumnFormula>
    </tableColumn>
    <tableColumn id="2" name="çıkan toplam" dataDxfId="0">
      <calculatedColumnFormula>SUMIFS(Tablo2[Adet],Tablo2[Model],Ürünler!K6)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table" Target="../tables/table5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1:I11"/>
  <sheetViews>
    <sheetView zoomScale="80" zoomScaleNormal="80" workbookViewId="0">
      <pane xSplit="7" topLeftCell="H1" activePane="topRight" state="frozen"/>
      <selection pane="topRight"/>
    </sheetView>
  </sheetViews>
  <sheetFormatPr defaultColWidth="5.33203125" defaultRowHeight="24" customHeight="1"/>
  <cols>
    <col min="1" max="1" width="5.44140625" style="4" customWidth="1"/>
    <col min="2" max="7" width="5.33203125" style="4"/>
    <col min="8" max="16384" width="5.33203125" style="5"/>
  </cols>
  <sheetData>
    <row r="11" spans="9:9" ht="24" customHeight="1">
      <c r="I11" s="6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urunler"/>
  <dimension ref="A3:Y28"/>
  <sheetViews>
    <sheetView topLeftCell="A7" zoomScale="80" zoomScaleNormal="80" workbookViewId="0">
      <pane xSplit="7" topLeftCell="H1" activePane="topRight" state="frozen"/>
      <selection pane="topRight"/>
    </sheetView>
  </sheetViews>
  <sheetFormatPr defaultColWidth="5.33203125" defaultRowHeight="24" customHeight="1"/>
  <cols>
    <col min="1" max="1" width="5.44140625" style="2" customWidth="1"/>
    <col min="2" max="7" width="5.33203125" style="2"/>
    <col min="8" max="9" width="5.33203125" style="3"/>
    <col min="10" max="11" width="20.6640625" style="21" customWidth="1"/>
    <col min="12" max="12" width="20.6640625" style="22" customWidth="1"/>
    <col min="13" max="13" width="20.6640625" style="21" customWidth="1"/>
    <col min="14" max="14" width="10.5546875" style="3" customWidth="1"/>
    <col min="15" max="15" width="10.88671875" style="3" bestFit="1" customWidth="1"/>
    <col min="16" max="16" width="21" style="3" bestFit="1" customWidth="1"/>
    <col min="17" max="18" width="17" style="3" bestFit="1" customWidth="1"/>
    <col min="19" max="19" width="10.6640625" style="3" customWidth="1"/>
    <col min="20" max="20" width="20.33203125" style="3" customWidth="1"/>
    <col min="21" max="21" width="18.88671875" style="3" customWidth="1"/>
    <col min="22" max="22" width="5" style="3" customWidth="1"/>
    <col min="23" max="24" width="16.5546875" style="3" customWidth="1"/>
    <col min="25" max="25" width="16.5546875" style="20" customWidth="1"/>
    <col min="26" max="26" width="16.5546875" style="3" customWidth="1"/>
    <col min="27" max="28" width="5.33203125" style="3"/>
    <col min="29" max="29" width="14" style="3" customWidth="1"/>
    <col min="30" max="30" width="14.109375" style="3" customWidth="1"/>
    <col min="31" max="16384" width="5.33203125" style="3"/>
  </cols>
  <sheetData>
    <row r="3" spans="10:25" ht="24" customHeight="1">
      <c r="Y3" s="3"/>
    </row>
    <row r="5" spans="10:25" ht="24" customHeight="1">
      <c r="J5" s="36" t="s">
        <v>0</v>
      </c>
      <c r="K5" s="36" t="s">
        <v>1</v>
      </c>
      <c r="L5" s="24" t="s">
        <v>2</v>
      </c>
      <c r="M5" s="23" t="s">
        <v>42</v>
      </c>
      <c r="O5" s="27" t="s">
        <v>44</v>
      </c>
      <c r="P5" s="27" t="s">
        <v>1</v>
      </c>
      <c r="Q5" s="28" t="s">
        <v>2</v>
      </c>
      <c r="R5" s="29" t="s">
        <v>45</v>
      </c>
      <c r="W5" s="20"/>
      <c r="Y5" s="3"/>
    </row>
    <row r="6" spans="10:25" ht="24" customHeight="1">
      <c r="J6" s="25" t="s">
        <v>3</v>
      </c>
      <c r="K6" s="25" t="s">
        <v>4</v>
      </c>
      <c r="L6" s="26">
        <v>16150</v>
      </c>
      <c r="M6" s="30">
        <f>Tablolar!A41-Tablolar!B41</f>
        <v>165</v>
      </c>
      <c r="O6" s="25" t="s">
        <v>3</v>
      </c>
      <c r="P6" s="25" t="s">
        <v>4</v>
      </c>
      <c r="Q6" s="26">
        <v>16150</v>
      </c>
      <c r="R6" s="25">
        <v>60</v>
      </c>
      <c r="W6" s="20"/>
      <c r="Y6" s="3"/>
    </row>
    <row r="7" spans="10:25" ht="24" customHeight="1">
      <c r="J7" s="25" t="s">
        <v>3</v>
      </c>
      <c r="K7" s="25" t="s">
        <v>22</v>
      </c>
      <c r="L7" s="26">
        <v>18050</v>
      </c>
      <c r="M7" s="30">
        <f>Tablolar!A42-Tablolar!B42</f>
        <v>112</v>
      </c>
      <c r="O7" s="25" t="s">
        <v>24</v>
      </c>
      <c r="P7" s="25" t="s">
        <v>27</v>
      </c>
      <c r="Q7" s="26">
        <v>23446</v>
      </c>
      <c r="R7" s="25">
        <v>60</v>
      </c>
      <c r="W7" s="20"/>
      <c r="Y7" s="3"/>
    </row>
    <row r="8" spans="10:25" ht="24" customHeight="1">
      <c r="J8" s="25" t="s">
        <v>3</v>
      </c>
      <c r="K8" s="25" t="s">
        <v>43</v>
      </c>
      <c r="L8" s="26">
        <v>22800</v>
      </c>
      <c r="M8" s="30">
        <f>Tablolar!A43-Tablolar!B43</f>
        <v>80</v>
      </c>
      <c r="O8" s="25" t="s">
        <v>3</v>
      </c>
      <c r="P8" s="25" t="s">
        <v>22</v>
      </c>
      <c r="Q8" s="26">
        <v>18050</v>
      </c>
      <c r="R8" s="25">
        <v>150</v>
      </c>
      <c r="W8" s="20"/>
      <c r="Y8" s="3"/>
    </row>
    <row r="9" spans="10:25" ht="24" customHeight="1">
      <c r="J9" s="25" t="s">
        <v>3</v>
      </c>
      <c r="K9" s="25" t="s">
        <v>6</v>
      </c>
      <c r="L9" s="26">
        <v>25650</v>
      </c>
      <c r="M9" s="30">
        <f>Tablolar!A44-Tablolar!B44</f>
        <v>129</v>
      </c>
      <c r="O9" s="25" t="s">
        <v>3</v>
      </c>
      <c r="P9" s="25" t="s">
        <v>5</v>
      </c>
      <c r="Q9" s="26">
        <v>22800</v>
      </c>
      <c r="R9" s="25">
        <v>100</v>
      </c>
      <c r="W9" s="20"/>
      <c r="Y9" s="3"/>
    </row>
    <row r="10" spans="10:25" ht="24" customHeight="1">
      <c r="J10" s="25" t="s">
        <v>24</v>
      </c>
      <c r="K10" s="25" t="s">
        <v>26</v>
      </c>
      <c r="L10" s="26">
        <v>17970</v>
      </c>
      <c r="M10" s="30">
        <f>Tablolar!A45-Tablolar!B45</f>
        <v>78</v>
      </c>
      <c r="O10" s="25" t="s">
        <v>3</v>
      </c>
      <c r="P10" s="25" t="s">
        <v>6</v>
      </c>
      <c r="Q10" s="26">
        <v>25650</v>
      </c>
      <c r="R10" s="25">
        <v>160</v>
      </c>
      <c r="W10" s="20"/>
      <c r="Y10" s="3"/>
    </row>
    <row r="11" spans="10:25" ht="24" customHeight="1">
      <c r="J11" s="25" t="s">
        <v>24</v>
      </c>
      <c r="K11" s="25" t="s">
        <v>25</v>
      </c>
      <c r="L11" s="26">
        <v>15950</v>
      </c>
      <c r="M11" s="30">
        <f>Tablolar!A46-Tablolar!B46</f>
        <v>95</v>
      </c>
      <c r="O11" s="25" t="s">
        <v>24</v>
      </c>
      <c r="P11" s="25" t="s">
        <v>26</v>
      </c>
      <c r="Q11" s="26">
        <v>17970</v>
      </c>
      <c r="R11" s="25">
        <v>80</v>
      </c>
      <c r="W11" s="20"/>
      <c r="Y11" s="3"/>
    </row>
    <row r="12" spans="10:25" ht="24" customHeight="1">
      <c r="J12" s="25" t="s">
        <v>24</v>
      </c>
      <c r="K12" s="25" t="s">
        <v>27</v>
      </c>
      <c r="L12" s="26">
        <v>23446</v>
      </c>
      <c r="M12" s="30">
        <f>Tablolar!A47-Tablolar!B47</f>
        <v>102</v>
      </c>
      <c r="O12" s="25" t="s">
        <v>24</v>
      </c>
      <c r="P12" s="25" t="s">
        <v>25</v>
      </c>
      <c r="Q12" s="26">
        <v>15950</v>
      </c>
      <c r="R12" s="25">
        <v>75</v>
      </c>
      <c r="W12" s="20"/>
      <c r="Y12" s="3"/>
    </row>
    <row r="13" spans="10:25" ht="24" customHeight="1">
      <c r="J13" s="25" t="s">
        <v>31</v>
      </c>
      <c r="K13" s="25" t="s">
        <v>32</v>
      </c>
      <c r="L13" s="26">
        <v>14545</v>
      </c>
      <c r="M13" s="30">
        <f>Tablolar!A48-Tablolar!B48</f>
        <v>90</v>
      </c>
      <c r="O13" s="25" t="s">
        <v>31</v>
      </c>
      <c r="P13" s="25" t="s">
        <v>37</v>
      </c>
      <c r="Q13" s="26">
        <v>17995</v>
      </c>
      <c r="R13" s="25">
        <v>70</v>
      </c>
      <c r="W13" s="20"/>
      <c r="Y13" s="3"/>
    </row>
    <row r="14" spans="10:25" ht="24" customHeight="1">
      <c r="J14" s="25" t="s">
        <v>31</v>
      </c>
      <c r="K14" s="25" t="s">
        <v>37</v>
      </c>
      <c r="L14" s="26">
        <v>17995</v>
      </c>
      <c r="M14" s="30">
        <f>Tablolar!A49-Tablolar!B49</f>
        <v>120</v>
      </c>
      <c r="O14" s="25" t="s">
        <v>31</v>
      </c>
      <c r="P14" s="25" t="s">
        <v>46</v>
      </c>
      <c r="Q14" s="26">
        <v>14545</v>
      </c>
      <c r="R14" s="25">
        <v>130</v>
      </c>
      <c r="W14" s="20"/>
      <c r="Y14" s="3"/>
    </row>
    <row r="15" spans="10:25" ht="24" customHeight="1">
      <c r="J15" s="25" t="s">
        <v>3</v>
      </c>
      <c r="K15" s="25" t="s">
        <v>54</v>
      </c>
      <c r="L15" s="26">
        <v>25650</v>
      </c>
      <c r="M15" s="30">
        <f>Tablolar!A50-Tablolar!B50</f>
        <v>95</v>
      </c>
      <c r="O15" s="25" t="s">
        <v>3</v>
      </c>
      <c r="P15" s="25" t="s">
        <v>43</v>
      </c>
      <c r="Q15" s="26">
        <v>27650</v>
      </c>
      <c r="R15" s="25">
        <v>80</v>
      </c>
      <c r="W15" s="20"/>
      <c r="Y15" s="3"/>
    </row>
    <row r="16" spans="10:25" ht="24" customHeight="1">
      <c r="J16" s="25" t="s">
        <v>47</v>
      </c>
      <c r="K16" s="25" t="s">
        <v>48</v>
      </c>
      <c r="L16" s="26">
        <v>14000</v>
      </c>
      <c r="M16" s="30">
        <f>Tablolar!A51-Tablolar!B51</f>
        <v>78</v>
      </c>
      <c r="O16" s="25" t="s">
        <v>3</v>
      </c>
      <c r="P16" s="25" t="s">
        <v>21</v>
      </c>
      <c r="Q16" s="26">
        <v>16150</v>
      </c>
      <c r="R16" s="25">
        <v>150</v>
      </c>
      <c r="W16" s="20"/>
      <c r="Y16" s="3"/>
    </row>
    <row r="17" spans="10:25" ht="24" customHeight="1">
      <c r="J17" s="25" t="s">
        <v>3</v>
      </c>
      <c r="K17" s="25" t="s">
        <v>53</v>
      </c>
      <c r="L17" s="26">
        <v>19000</v>
      </c>
      <c r="M17" s="30">
        <f>Tablolar!A52-Tablolar!B52</f>
        <v>101</v>
      </c>
      <c r="O17" s="25" t="s">
        <v>47</v>
      </c>
      <c r="P17" s="25" t="s">
        <v>48</v>
      </c>
      <c r="Q17" s="26">
        <v>14000</v>
      </c>
      <c r="R17" s="25">
        <v>160</v>
      </c>
      <c r="W17" s="20"/>
      <c r="Y17" s="3"/>
    </row>
    <row r="18" spans="10:25" ht="24" customHeight="1">
      <c r="J18" s="25" t="s">
        <v>3</v>
      </c>
      <c r="K18" s="25" t="s">
        <v>59</v>
      </c>
      <c r="L18" s="26">
        <v>40000</v>
      </c>
      <c r="M18" s="30">
        <f>Tablolar!A53-Tablolar!B53</f>
        <v>120</v>
      </c>
      <c r="O18" s="25" t="s">
        <v>3</v>
      </c>
      <c r="P18" s="25" t="s">
        <v>54</v>
      </c>
      <c r="Q18" s="26">
        <v>25650</v>
      </c>
      <c r="R18" s="25">
        <v>95</v>
      </c>
      <c r="W18" s="20"/>
      <c r="Y18" s="3"/>
    </row>
    <row r="19" spans="10:25" ht="24" customHeight="1">
      <c r="J19" s="51" t="s">
        <v>3</v>
      </c>
      <c r="K19" s="51" t="s">
        <v>5</v>
      </c>
      <c r="L19" s="52">
        <v>22800</v>
      </c>
      <c r="M19" s="53">
        <f>Tablolar!A54-Tablolar!B54</f>
        <v>90</v>
      </c>
      <c r="O19" s="25" t="s">
        <v>3</v>
      </c>
      <c r="P19" s="25" t="s">
        <v>53</v>
      </c>
      <c r="Q19" s="26">
        <v>19000</v>
      </c>
      <c r="R19" s="25">
        <v>21</v>
      </c>
      <c r="W19" s="20"/>
      <c r="Y19" s="3"/>
    </row>
    <row r="20" spans="10:25" ht="24" customHeight="1">
      <c r="J20" s="51" t="s">
        <v>47</v>
      </c>
      <c r="K20" s="51" t="s">
        <v>80</v>
      </c>
      <c r="L20" s="52">
        <v>10300</v>
      </c>
      <c r="M20" s="53">
        <f>Tablolar!A55-Tablolar!B55</f>
        <v>100</v>
      </c>
      <c r="O20" s="25" t="s">
        <v>3</v>
      </c>
      <c r="P20" s="25" t="s">
        <v>59</v>
      </c>
      <c r="Q20" s="26">
        <v>40000</v>
      </c>
      <c r="R20" s="25">
        <v>120</v>
      </c>
      <c r="W20" s="20"/>
      <c r="Y20" s="3"/>
    </row>
    <row r="21" spans="10:25" ht="24" customHeight="1">
      <c r="J21" s="51" t="s">
        <v>72</v>
      </c>
      <c r="K21" s="51" t="s">
        <v>82</v>
      </c>
      <c r="L21" s="52">
        <v>13600</v>
      </c>
      <c r="M21" s="53">
        <f>Tablolar!A56-Tablolar!B56</f>
        <v>200</v>
      </c>
      <c r="O21" s="25" t="s">
        <v>3</v>
      </c>
      <c r="P21" s="25" t="s">
        <v>5</v>
      </c>
      <c r="Q21" s="26">
        <v>22800</v>
      </c>
      <c r="R21" s="25">
        <v>60</v>
      </c>
    </row>
    <row r="22" spans="10:25" ht="24" customHeight="1">
      <c r="O22" s="25" t="s">
        <v>24</v>
      </c>
      <c r="P22" s="25" t="s">
        <v>27</v>
      </c>
      <c r="Q22" s="26">
        <v>23446</v>
      </c>
      <c r="R22" s="25">
        <v>55</v>
      </c>
    </row>
    <row r="23" spans="10:25" ht="24" customHeight="1">
      <c r="O23" s="25" t="s">
        <v>31</v>
      </c>
      <c r="P23" s="25" t="s">
        <v>37</v>
      </c>
      <c r="Q23" s="26">
        <v>17995</v>
      </c>
      <c r="R23" s="25">
        <v>50</v>
      </c>
    </row>
    <row r="24" spans="10:25" ht="24" customHeight="1">
      <c r="O24" s="25" t="s">
        <v>24</v>
      </c>
      <c r="P24" s="25" t="s">
        <v>25</v>
      </c>
      <c r="Q24" s="26">
        <v>15950</v>
      </c>
      <c r="R24" s="25">
        <v>40</v>
      </c>
    </row>
    <row r="25" spans="10:25" ht="24" customHeight="1">
      <c r="O25" s="25" t="s">
        <v>24</v>
      </c>
      <c r="P25" s="25" t="s">
        <v>26</v>
      </c>
      <c r="Q25" s="26">
        <v>17970</v>
      </c>
      <c r="R25" s="25">
        <v>50</v>
      </c>
    </row>
    <row r="26" spans="10:25" ht="24" customHeight="1">
      <c r="O26" s="25" t="s">
        <v>3</v>
      </c>
      <c r="P26" s="25" t="s">
        <v>53</v>
      </c>
      <c r="Q26" s="26">
        <v>19000</v>
      </c>
      <c r="R26" s="25">
        <v>100</v>
      </c>
    </row>
    <row r="27" spans="10:25" ht="24" customHeight="1">
      <c r="O27" s="25" t="s">
        <v>47</v>
      </c>
      <c r="P27" s="25" t="s">
        <v>80</v>
      </c>
      <c r="Q27" s="26">
        <v>10300</v>
      </c>
      <c r="R27" s="25">
        <v>150</v>
      </c>
    </row>
    <row r="28" spans="10:25" ht="24" customHeight="1">
      <c r="O28" s="25" t="s">
        <v>72</v>
      </c>
      <c r="P28" s="25" t="s">
        <v>82</v>
      </c>
      <c r="Q28" s="26">
        <v>13600</v>
      </c>
      <c r="R28" s="25">
        <v>250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satislar"/>
  <dimension ref="A2:Q26"/>
  <sheetViews>
    <sheetView tabSelected="1" topLeftCell="A4" zoomScale="80" zoomScaleNormal="80" workbookViewId="0">
      <pane xSplit="7" topLeftCell="H1" activePane="topRight" state="frozen"/>
      <selection pane="topRight"/>
    </sheetView>
  </sheetViews>
  <sheetFormatPr defaultColWidth="5.33203125" defaultRowHeight="24" customHeight="1"/>
  <cols>
    <col min="1" max="1" width="5.44140625" style="11" customWidth="1"/>
    <col min="2" max="7" width="5.33203125" style="11"/>
    <col min="8" max="9" width="5.33203125" style="1"/>
    <col min="10" max="10" width="20.6640625" style="7" customWidth="1"/>
    <col min="11" max="11" width="22.33203125" style="8" bestFit="1" customWidth="1"/>
    <col min="12" max="12" width="24.33203125" style="8" bestFit="1" customWidth="1"/>
    <col min="13" max="13" width="20.6640625" style="8" customWidth="1"/>
    <col min="14" max="14" width="23" style="8" bestFit="1" customWidth="1"/>
    <col min="15" max="15" width="20.6640625" style="9" customWidth="1"/>
    <col min="16" max="16" width="20.6640625" style="8" customWidth="1"/>
    <col min="17" max="17" width="22.6640625" style="10" bestFit="1" customWidth="1"/>
    <col min="18" max="16384" width="5.33203125" style="1"/>
  </cols>
  <sheetData>
    <row r="2" spans="10:17" ht="24" customHeight="1">
      <c r="J2" s="1"/>
    </row>
    <row r="3" spans="10:17" ht="24" customHeight="1">
      <c r="J3" s="1"/>
      <c r="K3" s="1"/>
      <c r="L3" s="1"/>
      <c r="M3" s="1"/>
      <c r="N3" s="1"/>
      <c r="O3" s="1"/>
      <c r="P3" s="1"/>
      <c r="Q3" s="1"/>
    </row>
    <row r="4" spans="10:17" ht="24" customHeight="1">
      <c r="J4" s="1"/>
      <c r="K4" s="1"/>
      <c r="L4" s="1"/>
      <c r="M4" s="1"/>
      <c r="N4" s="1"/>
      <c r="O4" s="1"/>
      <c r="P4" s="1"/>
      <c r="Q4" s="1"/>
    </row>
    <row r="5" spans="10:17" ht="24" customHeight="1">
      <c r="J5" s="19" t="s">
        <v>15</v>
      </c>
      <c r="K5" s="12" t="s">
        <v>16</v>
      </c>
      <c r="L5" s="12" t="s">
        <v>18</v>
      </c>
      <c r="M5" s="12" t="s">
        <v>0</v>
      </c>
      <c r="N5" s="12" t="s">
        <v>1</v>
      </c>
      <c r="O5" s="13" t="s">
        <v>2</v>
      </c>
      <c r="P5" s="12" t="s">
        <v>17</v>
      </c>
      <c r="Q5" s="14" t="s">
        <v>19</v>
      </c>
    </row>
    <row r="6" spans="10:17" ht="24" customHeight="1">
      <c r="J6" s="15" t="s">
        <v>51</v>
      </c>
      <c r="K6" s="16" t="s">
        <v>9</v>
      </c>
      <c r="L6" s="16" t="s">
        <v>20</v>
      </c>
      <c r="M6" s="16" t="s">
        <v>3</v>
      </c>
      <c r="N6" s="16" t="s">
        <v>21</v>
      </c>
      <c r="O6" s="17">
        <v>16150</v>
      </c>
      <c r="P6" s="37">
        <v>35</v>
      </c>
      <c r="Q6" s="18">
        <f>Tablo2[[#This Row],[Fiyat]]*Tablo2[[#This Row],[Adet]]</f>
        <v>565250</v>
      </c>
    </row>
    <row r="7" spans="10:17" ht="24" customHeight="1">
      <c r="J7" s="15" t="s">
        <v>50</v>
      </c>
      <c r="K7" s="16" t="s">
        <v>29</v>
      </c>
      <c r="L7" s="16" t="s">
        <v>20</v>
      </c>
      <c r="M7" s="16" t="s">
        <v>3</v>
      </c>
      <c r="N7" s="16" t="s">
        <v>22</v>
      </c>
      <c r="O7" s="17">
        <v>18050</v>
      </c>
      <c r="P7" s="37">
        <v>38</v>
      </c>
      <c r="Q7" s="18">
        <f>Tablo2[[#This Row],[Fiyat]]*Tablo2[[#This Row],[Adet]]</f>
        <v>685900</v>
      </c>
    </row>
    <row r="8" spans="10:17" ht="24" customHeight="1">
      <c r="J8" s="15" t="s">
        <v>52</v>
      </c>
      <c r="K8" s="16" t="s">
        <v>12</v>
      </c>
      <c r="L8" s="16" t="s">
        <v>23</v>
      </c>
      <c r="M8" s="16" t="s">
        <v>3</v>
      </c>
      <c r="N8" s="16" t="s">
        <v>5</v>
      </c>
      <c r="O8" s="17">
        <v>22800</v>
      </c>
      <c r="P8" s="37">
        <v>45</v>
      </c>
      <c r="Q8" s="18">
        <f>Tablo2[[#This Row],[Fiyat]]*Tablo2[[#This Row],[Adet]]</f>
        <v>1026000</v>
      </c>
    </row>
    <row r="9" spans="10:17" ht="24" customHeight="1">
      <c r="J9" s="15" t="s">
        <v>68</v>
      </c>
      <c r="K9" s="16" t="s">
        <v>11</v>
      </c>
      <c r="L9" s="16" t="s">
        <v>35</v>
      </c>
      <c r="M9" s="16" t="s">
        <v>3</v>
      </c>
      <c r="N9" s="16" t="s">
        <v>6</v>
      </c>
      <c r="O9" s="17">
        <v>25650</v>
      </c>
      <c r="P9" s="37">
        <v>21</v>
      </c>
      <c r="Q9" s="18">
        <f>Tablo2[[#This Row],[Fiyat]]*Tablo2[[#This Row],[Adet]]</f>
        <v>538650</v>
      </c>
    </row>
    <row r="10" spans="10:17" ht="24" customHeight="1">
      <c r="J10" s="15" t="s">
        <v>28</v>
      </c>
      <c r="K10" s="16" t="s">
        <v>29</v>
      </c>
      <c r="L10" s="16" t="s">
        <v>30</v>
      </c>
      <c r="M10" s="16" t="s">
        <v>24</v>
      </c>
      <c r="N10" s="16" t="s">
        <v>27</v>
      </c>
      <c r="O10" s="17">
        <v>23446</v>
      </c>
      <c r="P10" s="37">
        <v>13</v>
      </c>
      <c r="Q10" s="18">
        <f>Tablo2[[#This Row],[Fiyat]]*Tablo2[[#This Row],[Adet]]</f>
        <v>304798</v>
      </c>
    </row>
    <row r="11" spans="10:17" ht="24" customHeight="1">
      <c r="J11" s="15" t="s">
        <v>55</v>
      </c>
      <c r="K11" s="16" t="s">
        <v>9</v>
      </c>
      <c r="L11" s="16" t="s">
        <v>35</v>
      </c>
      <c r="M11" s="16" t="s">
        <v>24</v>
      </c>
      <c r="N11" s="16" t="s">
        <v>26</v>
      </c>
      <c r="O11" s="17">
        <v>17970</v>
      </c>
      <c r="P11" s="37">
        <v>16</v>
      </c>
      <c r="Q11" s="18">
        <f>Tablo2[[#This Row],[Fiyat]]*Tablo2[[#This Row],[Adet]]</f>
        <v>287520</v>
      </c>
    </row>
    <row r="12" spans="10:17" ht="24" customHeight="1">
      <c r="J12" s="15" t="s">
        <v>73</v>
      </c>
      <c r="K12" s="16" t="s">
        <v>14</v>
      </c>
      <c r="L12" s="16" t="s">
        <v>36</v>
      </c>
      <c r="M12" s="16" t="s">
        <v>3</v>
      </c>
      <c r="N12" s="16" t="s">
        <v>4</v>
      </c>
      <c r="O12" s="17">
        <v>16150</v>
      </c>
      <c r="P12" s="37">
        <v>10</v>
      </c>
      <c r="Q12" s="18">
        <f>Tablo2[[#This Row],[Fiyat]]*Tablo2[[#This Row],[Adet]]</f>
        <v>161500</v>
      </c>
    </row>
    <row r="13" spans="10:17" ht="24" customHeight="1">
      <c r="J13" s="15">
        <v>44634</v>
      </c>
      <c r="K13" s="16" t="s">
        <v>29</v>
      </c>
      <c r="L13" s="16" t="s">
        <v>23</v>
      </c>
      <c r="M13" s="16" t="s">
        <v>24</v>
      </c>
      <c r="N13" s="16" t="s">
        <v>25</v>
      </c>
      <c r="O13" s="17">
        <v>15950</v>
      </c>
      <c r="P13" s="37">
        <v>20</v>
      </c>
      <c r="Q13" s="18">
        <f>Tablo2[[#This Row],[Fiyat]]*Tablo2[[#This Row],[Adet]]</f>
        <v>319000</v>
      </c>
    </row>
    <row r="14" spans="10:17" ht="24" customHeight="1">
      <c r="J14" s="15" t="s">
        <v>38</v>
      </c>
      <c r="K14" s="16" t="s">
        <v>33</v>
      </c>
      <c r="L14" s="16" t="s">
        <v>39</v>
      </c>
      <c r="M14" s="16" t="s">
        <v>31</v>
      </c>
      <c r="N14" s="16" t="s">
        <v>32</v>
      </c>
      <c r="O14" s="17">
        <v>14545</v>
      </c>
      <c r="P14" s="37">
        <v>20</v>
      </c>
      <c r="Q14" s="18">
        <f>Tablo2[[#This Row],[Fiyat]]*Tablo2[[#This Row],[Adet]]</f>
        <v>290900</v>
      </c>
    </row>
    <row r="15" spans="10:17" ht="24" customHeight="1">
      <c r="J15" s="15" t="s">
        <v>40</v>
      </c>
      <c r="K15" s="16" t="s">
        <v>33</v>
      </c>
      <c r="L15" s="16" t="s">
        <v>41</v>
      </c>
      <c r="M15" s="16" t="s">
        <v>24</v>
      </c>
      <c r="N15" s="16" t="s">
        <v>26</v>
      </c>
      <c r="O15" s="17">
        <v>17970</v>
      </c>
      <c r="P15" s="37">
        <v>23</v>
      </c>
      <c r="Q15" s="18">
        <f>Tablo2[[#This Row],[Fiyat]]*Tablo2[[#This Row],[Adet]]</f>
        <v>413310</v>
      </c>
    </row>
    <row r="16" spans="10:17" ht="24" customHeight="1">
      <c r="J16" s="15" t="s">
        <v>49</v>
      </c>
      <c r="K16" s="16" t="s">
        <v>29</v>
      </c>
      <c r="L16" s="16" t="s">
        <v>23</v>
      </c>
      <c r="M16" s="16" t="s">
        <v>47</v>
      </c>
      <c r="N16" s="16" t="s">
        <v>48</v>
      </c>
      <c r="O16" s="17">
        <v>14000</v>
      </c>
      <c r="P16" s="37">
        <v>40</v>
      </c>
      <c r="Q16" s="18">
        <f>Tablo2[[#This Row],[Fiyat]]*Tablo2[[#This Row],[Adet]]</f>
        <v>560000</v>
      </c>
    </row>
    <row r="17" spans="10:17" ht="24" customHeight="1">
      <c r="J17" s="15" t="s">
        <v>52</v>
      </c>
      <c r="K17" s="16" t="s">
        <v>12</v>
      </c>
      <c r="L17" s="16" t="s">
        <v>23</v>
      </c>
      <c r="M17" s="16" t="s">
        <v>3</v>
      </c>
      <c r="N17" s="16" t="s">
        <v>5</v>
      </c>
      <c r="O17" s="17">
        <v>22800</v>
      </c>
      <c r="P17" s="37">
        <v>25</v>
      </c>
      <c r="Q17" s="18">
        <f>Tablo2[[#This Row],[Fiyat]]*Tablo2[[#This Row],[Adet]]</f>
        <v>570000</v>
      </c>
    </row>
    <row r="18" spans="10:17" ht="24" customHeight="1">
      <c r="J18" s="38" t="s">
        <v>64</v>
      </c>
      <c r="K18" s="39" t="s">
        <v>29</v>
      </c>
      <c r="L18" s="39" t="s">
        <v>39</v>
      </c>
      <c r="M18" s="39" t="s">
        <v>47</v>
      </c>
      <c r="N18" s="39" t="s">
        <v>48</v>
      </c>
      <c r="O18" s="40">
        <v>14000</v>
      </c>
      <c r="P18" s="41">
        <v>2</v>
      </c>
      <c r="Q18" s="42">
        <f>Tablo2[[#This Row],[Fiyat]]*Tablo2[[#This Row],[Adet]]</f>
        <v>28000</v>
      </c>
    </row>
    <row r="19" spans="10:17" ht="24" customHeight="1">
      <c r="J19" s="38" t="s">
        <v>69</v>
      </c>
      <c r="K19" s="39" t="s">
        <v>14</v>
      </c>
      <c r="L19" s="39" t="s">
        <v>39</v>
      </c>
      <c r="M19" s="39" t="s">
        <v>31</v>
      </c>
      <c r="N19" s="39" t="s">
        <v>32</v>
      </c>
      <c r="O19" s="40">
        <v>14545</v>
      </c>
      <c r="P19" s="41">
        <v>20</v>
      </c>
      <c r="Q19" s="42">
        <f>Tablo2[[#This Row],[Fiyat]]*Tablo2[[#This Row],[Adet]]</f>
        <v>290900</v>
      </c>
    </row>
    <row r="20" spans="10:17" ht="24" customHeight="1">
      <c r="J20" s="38" t="s">
        <v>74</v>
      </c>
      <c r="K20" s="39" t="s">
        <v>11</v>
      </c>
      <c r="L20" s="39" t="s">
        <v>75</v>
      </c>
      <c r="M20" s="39" t="s">
        <v>3</v>
      </c>
      <c r="N20" s="39" t="s">
        <v>53</v>
      </c>
      <c r="O20" s="40">
        <v>19000</v>
      </c>
      <c r="P20" s="41">
        <v>20</v>
      </c>
      <c r="Q20" s="42">
        <f>Tablo2[[#This Row],[Fiyat]]*Tablo2[[#This Row],[Adet]]</f>
        <v>380000</v>
      </c>
    </row>
    <row r="21" spans="10:17" ht="24" customHeight="1">
      <c r="J21" s="38" t="s">
        <v>76</v>
      </c>
      <c r="K21" s="39" t="s">
        <v>29</v>
      </c>
      <c r="L21" s="39" t="s">
        <v>39</v>
      </c>
      <c r="M21" s="39" t="s">
        <v>24</v>
      </c>
      <c r="N21" s="39" t="s">
        <v>26</v>
      </c>
      <c r="O21" s="40">
        <v>17970</v>
      </c>
      <c r="P21" s="41">
        <v>13</v>
      </c>
      <c r="Q21" s="42">
        <f>Tablo2[[#This Row],[Fiyat]]*Tablo2[[#This Row],[Adet]]</f>
        <v>233610</v>
      </c>
    </row>
    <row r="22" spans="10:17" ht="24" customHeight="1">
      <c r="J22" s="66" t="s">
        <v>77</v>
      </c>
      <c r="K22" s="67" t="s">
        <v>11</v>
      </c>
      <c r="L22" s="67" t="s">
        <v>75</v>
      </c>
      <c r="M22" s="67" t="s">
        <v>47</v>
      </c>
      <c r="N22" s="67" t="s">
        <v>48</v>
      </c>
      <c r="O22" s="68">
        <v>14000</v>
      </c>
      <c r="P22" s="69">
        <v>25</v>
      </c>
      <c r="Q22" s="70">
        <f>Tablo2[[#This Row],[Fiyat]]*Tablo2[[#This Row],[Adet]]</f>
        <v>350000</v>
      </c>
    </row>
    <row r="23" spans="10:17" ht="24" customHeight="1">
      <c r="J23" s="66" t="s">
        <v>78</v>
      </c>
      <c r="K23" s="67" t="s">
        <v>33</v>
      </c>
      <c r="L23" s="67" t="s">
        <v>79</v>
      </c>
      <c r="M23" s="67" t="s">
        <v>47</v>
      </c>
      <c r="N23" s="67" t="s">
        <v>48</v>
      </c>
      <c r="O23" s="68">
        <v>14000</v>
      </c>
      <c r="P23" s="69">
        <v>15</v>
      </c>
      <c r="Q23" s="70">
        <f>Tablo2[[#This Row],[Fiyat]]*Tablo2[[#This Row],[Adet]]</f>
        <v>210000</v>
      </c>
    </row>
    <row r="24" spans="10:17" ht="24" customHeight="1">
      <c r="J24" s="66" t="s">
        <v>81</v>
      </c>
      <c r="K24" s="67" t="s">
        <v>14</v>
      </c>
      <c r="L24" s="67" t="s">
        <v>36</v>
      </c>
      <c r="M24" s="67" t="s">
        <v>47</v>
      </c>
      <c r="N24" s="67" t="s">
        <v>80</v>
      </c>
      <c r="O24" s="68">
        <v>10300</v>
      </c>
      <c r="P24" s="69">
        <v>50</v>
      </c>
      <c r="Q24" s="70">
        <f>Tablo2[[#This Row],[Fiyat]]*Tablo2[[#This Row],[Adet]]</f>
        <v>515000</v>
      </c>
    </row>
    <row r="25" spans="10:17" ht="24" customHeight="1">
      <c r="J25" s="66" t="s">
        <v>83</v>
      </c>
      <c r="K25" s="67" t="s">
        <v>12</v>
      </c>
      <c r="L25" s="67" t="s">
        <v>41</v>
      </c>
      <c r="M25" s="67" t="s">
        <v>72</v>
      </c>
      <c r="N25" s="67" t="s">
        <v>82</v>
      </c>
      <c r="O25" s="68">
        <v>13600</v>
      </c>
      <c r="P25" s="69">
        <v>50</v>
      </c>
      <c r="Q25" s="70">
        <f>Tablo2[[#This Row],[Fiyat]]*Tablo2[[#This Row],[Adet]]</f>
        <v>680000</v>
      </c>
    </row>
    <row r="26" spans="10:17" ht="24" customHeight="1">
      <c r="J26" s="66" t="s">
        <v>84</v>
      </c>
      <c r="K26" s="67" t="s">
        <v>11</v>
      </c>
      <c r="L26" s="67" t="s">
        <v>75</v>
      </c>
      <c r="M26" s="67" t="s">
        <v>3</v>
      </c>
      <c r="N26" s="67" t="s">
        <v>6</v>
      </c>
      <c r="O26" s="68">
        <v>25650</v>
      </c>
      <c r="P26" s="69">
        <v>10</v>
      </c>
      <c r="Q26" s="70">
        <f>Tablo2[[#This Row],[Fiyat]]*Tablo2[[#This Row],[Adet]]</f>
        <v>256500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personeller"/>
  <dimension ref="A3:K13"/>
  <sheetViews>
    <sheetView zoomScale="80" zoomScaleNormal="80" workbookViewId="0">
      <pane xSplit="7" topLeftCell="H1" activePane="topRight" state="frozen"/>
      <selection pane="topRight" activeCell="K13" sqref="K13"/>
    </sheetView>
  </sheetViews>
  <sheetFormatPr defaultColWidth="5.33203125" defaultRowHeight="24" customHeight="1"/>
  <cols>
    <col min="1" max="1" width="5.44140625" style="32" customWidth="1"/>
    <col min="2" max="7" width="5.33203125" style="32"/>
    <col min="8" max="9" width="5.33203125" style="33"/>
    <col min="10" max="10" width="30.33203125" style="34" customWidth="1"/>
    <col min="11" max="11" width="26.44140625" style="34" customWidth="1"/>
    <col min="12" max="12" width="20.6640625" style="33" customWidth="1"/>
    <col min="13" max="13" width="5.33203125" style="33" customWidth="1"/>
    <col min="14" max="16384" width="5.33203125" style="33"/>
  </cols>
  <sheetData>
    <row r="3" spans="10:11" ht="24" customHeight="1">
      <c r="J3" s="33"/>
      <c r="K3" s="33"/>
    </row>
    <row r="4" spans="10:11" ht="24" customHeight="1">
      <c r="J4" s="33"/>
      <c r="K4" s="33"/>
    </row>
    <row r="5" spans="10:11" ht="24" customHeight="1">
      <c r="J5" s="12" t="s">
        <v>7</v>
      </c>
      <c r="K5" s="12" t="s">
        <v>8</v>
      </c>
    </row>
    <row r="6" spans="10:11" ht="24" customHeight="1">
      <c r="J6" s="35" t="s">
        <v>9</v>
      </c>
      <c r="K6" s="35" t="s">
        <v>10</v>
      </c>
    </row>
    <row r="7" spans="10:11" ht="24" customHeight="1">
      <c r="J7" s="35" t="s">
        <v>11</v>
      </c>
      <c r="K7" s="35" t="s">
        <v>10</v>
      </c>
    </row>
    <row r="8" spans="10:11" ht="24" customHeight="1">
      <c r="J8" s="35" t="s">
        <v>12</v>
      </c>
      <c r="K8" s="35" t="s">
        <v>56</v>
      </c>
    </row>
    <row r="9" spans="10:11" ht="24" customHeight="1">
      <c r="J9" s="35" t="s">
        <v>29</v>
      </c>
      <c r="K9" s="35" t="s">
        <v>13</v>
      </c>
    </row>
    <row r="10" spans="10:11" ht="24" customHeight="1">
      <c r="J10" s="35" t="s">
        <v>14</v>
      </c>
      <c r="K10" s="35" t="s">
        <v>13</v>
      </c>
    </row>
    <row r="11" spans="10:11" ht="24" customHeight="1">
      <c r="J11" s="35" t="s">
        <v>33</v>
      </c>
      <c r="K11" s="35" t="s">
        <v>34</v>
      </c>
    </row>
    <row r="12" spans="10:11" ht="24" customHeight="1">
      <c r="J12" s="35" t="s">
        <v>70</v>
      </c>
      <c r="K12" s="35" t="s">
        <v>56</v>
      </c>
    </row>
    <row r="13" spans="10:11" ht="24" customHeight="1">
      <c r="J13" s="35" t="s">
        <v>85</v>
      </c>
      <c r="K13" s="35" t="s">
        <v>86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3:BN77"/>
  <sheetViews>
    <sheetView showGridLines="0" topLeftCell="A37" workbookViewId="0">
      <selection activeCell="C6" sqref="C6"/>
    </sheetView>
  </sheetViews>
  <sheetFormatPr defaultRowHeight="14.4"/>
  <cols>
    <col min="1" max="1" width="14.77734375" customWidth="1"/>
    <col min="2" max="2" width="11.77734375" customWidth="1"/>
    <col min="3" max="3" width="19.21875" bestFit="1" customWidth="1"/>
    <col min="4" max="4" width="18.21875" bestFit="1" customWidth="1"/>
    <col min="5" max="5" width="21.33203125" bestFit="1" customWidth="1"/>
    <col min="6" max="6" width="13" customWidth="1"/>
    <col min="8" max="8" width="14.77734375" customWidth="1"/>
    <col min="9" max="9" width="16.109375" customWidth="1"/>
    <col min="10" max="10" width="10" customWidth="1"/>
    <col min="11" max="11" width="11" customWidth="1"/>
    <col min="12" max="12" width="9.44140625" customWidth="1"/>
    <col min="13" max="15" width="9.33203125" customWidth="1"/>
    <col min="16" max="16" width="12.6640625" customWidth="1"/>
    <col min="17" max="17" width="8.44140625" customWidth="1"/>
    <col min="18" max="18" width="16.88671875" customWidth="1"/>
    <col min="19" max="19" width="6.21875" customWidth="1"/>
    <col min="20" max="20" width="4.21875" customWidth="1"/>
    <col min="21" max="21" width="7.88671875" customWidth="1"/>
    <col min="22" max="22" width="14.77734375" customWidth="1"/>
    <col min="23" max="23" width="19.21875" customWidth="1"/>
    <col min="24" max="24" width="16.88671875" bestFit="1" customWidth="1"/>
    <col min="25" max="25" width="16.6640625" customWidth="1"/>
    <col min="26" max="26" width="19.21875" customWidth="1"/>
    <col min="27" max="27" width="16.88671875" customWidth="1"/>
    <col min="28" max="28" width="16.88671875" bestFit="1" customWidth="1"/>
    <col min="29" max="29" width="20.44140625" style="50" customWidth="1"/>
    <col min="30" max="30" width="16.88671875" style="50" customWidth="1"/>
    <col min="31" max="32" width="16.88671875" customWidth="1"/>
    <col min="33" max="33" width="12.5546875" customWidth="1"/>
    <col min="34" max="34" width="12.5546875" bestFit="1" customWidth="1"/>
  </cols>
  <sheetData>
    <row r="3" spans="1:66" ht="25.8">
      <c r="A3" s="43" t="s">
        <v>60</v>
      </c>
      <c r="B3" t="s">
        <v>62</v>
      </c>
      <c r="C3" t="s">
        <v>63</v>
      </c>
      <c r="E3" s="47">
        <f>GETPIVOTDATA("Toplam Toplam Tutar",$C$10)</f>
        <v>8410338</v>
      </c>
      <c r="F3" s="48" t="s">
        <v>65</v>
      </c>
      <c r="H3" s="43" t="s">
        <v>62</v>
      </c>
      <c r="I3" s="43" t="s">
        <v>67</v>
      </c>
      <c r="V3" s="43" t="s">
        <v>60</v>
      </c>
      <c r="W3" t="s">
        <v>63</v>
      </c>
      <c r="Y3" s="43" t="s">
        <v>60</v>
      </c>
      <c r="Z3" t="s">
        <v>63</v>
      </c>
      <c r="AB3" s="49" t="s">
        <v>0</v>
      </c>
      <c r="AC3" s="49" t="s">
        <v>1</v>
      </c>
      <c r="AD3"/>
    </row>
    <row r="4" spans="1:66" ht="25.2" customHeight="1">
      <c r="A4" s="44" t="s">
        <v>9</v>
      </c>
      <c r="B4" s="45">
        <v>51</v>
      </c>
      <c r="C4" s="46">
        <v>852770</v>
      </c>
      <c r="E4" s="49">
        <f>GETPIVOTDATA("Toplam Adet",$B$10)</f>
        <v>501</v>
      </c>
      <c r="F4" s="48" t="s">
        <v>66</v>
      </c>
      <c r="H4" s="43" t="s">
        <v>60</v>
      </c>
      <c r="I4" t="s">
        <v>25</v>
      </c>
      <c r="J4" t="s">
        <v>26</v>
      </c>
      <c r="K4" t="s">
        <v>27</v>
      </c>
      <c r="L4" t="s">
        <v>21</v>
      </c>
      <c r="M4" t="s">
        <v>4</v>
      </c>
      <c r="N4" t="s">
        <v>22</v>
      </c>
      <c r="O4" t="s">
        <v>5</v>
      </c>
      <c r="P4" t="s">
        <v>6</v>
      </c>
      <c r="Q4" t="s">
        <v>53</v>
      </c>
      <c r="R4" t="s">
        <v>32</v>
      </c>
      <c r="S4" t="s">
        <v>48</v>
      </c>
      <c r="T4" t="s">
        <v>80</v>
      </c>
      <c r="U4" t="s">
        <v>82</v>
      </c>
      <c r="V4" s="44" t="s">
        <v>3</v>
      </c>
      <c r="W4" s="45">
        <v>3927300</v>
      </c>
      <c r="Y4" s="44" t="s">
        <v>5</v>
      </c>
      <c r="Z4" s="45">
        <v>1596000</v>
      </c>
      <c r="AB4" s="65" t="str">
        <f>Y4</f>
        <v>iphone 13</v>
      </c>
      <c r="AC4" s="64">
        <f>Z4</f>
        <v>1596000</v>
      </c>
      <c r="AD4"/>
      <c r="BC4" s="55"/>
      <c r="BD4" s="56"/>
      <c r="BE4" s="57"/>
      <c r="BF4" s="55"/>
      <c r="BG4" s="56"/>
      <c r="BH4" s="57"/>
      <c r="BI4" s="55"/>
      <c r="BJ4" s="56"/>
      <c r="BK4" s="57"/>
      <c r="BL4" s="55"/>
      <c r="BM4" s="56"/>
      <c r="BN4" s="57"/>
    </row>
    <row r="5" spans="1:66" ht="25.2" customHeight="1">
      <c r="A5" s="44" t="s">
        <v>33</v>
      </c>
      <c r="B5" s="45">
        <v>58</v>
      </c>
      <c r="C5" s="46">
        <v>914210</v>
      </c>
      <c r="H5" s="44" t="s">
        <v>39</v>
      </c>
      <c r="I5" s="45"/>
      <c r="J5" s="45">
        <v>13</v>
      </c>
      <c r="K5" s="45"/>
      <c r="L5" s="45"/>
      <c r="M5" s="45"/>
      <c r="N5" s="45"/>
      <c r="O5" s="45"/>
      <c r="P5" s="45"/>
      <c r="Q5" s="45"/>
      <c r="R5" s="45">
        <v>40</v>
      </c>
      <c r="S5" s="45">
        <v>2</v>
      </c>
      <c r="T5" s="45"/>
      <c r="U5" s="45"/>
      <c r="V5" s="44" t="s">
        <v>47</v>
      </c>
      <c r="W5" s="45">
        <v>1663000</v>
      </c>
      <c r="Y5" s="44" t="s">
        <v>48</v>
      </c>
      <c r="Z5" s="45">
        <v>1148000</v>
      </c>
      <c r="AB5" s="65" t="str">
        <f t="shared" ref="AB5:AB6" si="0">Y5</f>
        <v>Rino 2</v>
      </c>
      <c r="AC5" s="64">
        <f t="shared" ref="AC5:AC6" si="1">Z5</f>
        <v>1148000</v>
      </c>
      <c r="AD5"/>
      <c r="BC5" s="58"/>
      <c r="BD5" s="59"/>
      <c r="BE5" s="60"/>
      <c r="BF5" s="58"/>
      <c r="BG5" s="59"/>
      <c r="BH5" s="60"/>
      <c r="BI5" s="58"/>
      <c r="BJ5" s="59"/>
      <c r="BK5" s="60"/>
      <c r="BL5" s="58"/>
      <c r="BM5" s="59"/>
      <c r="BN5" s="60"/>
    </row>
    <row r="6" spans="1:66" ht="25.2" customHeight="1">
      <c r="A6" s="44" t="s">
        <v>14</v>
      </c>
      <c r="B6" s="45">
        <v>80</v>
      </c>
      <c r="C6" s="46">
        <v>967400</v>
      </c>
      <c r="H6" s="44" t="s">
        <v>20</v>
      </c>
      <c r="I6" s="45"/>
      <c r="J6" s="45"/>
      <c r="K6" s="45"/>
      <c r="L6" s="45">
        <v>35</v>
      </c>
      <c r="M6" s="45"/>
      <c r="N6" s="45">
        <v>38</v>
      </c>
      <c r="O6" s="45"/>
      <c r="P6" s="45"/>
      <c r="Q6" s="45"/>
      <c r="R6" s="45"/>
      <c r="S6" s="45"/>
      <c r="T6" s="45"/>
      <c r="U6" s="45"/>
      <c r="V6" s="44" t="s">
        <v>24</v>
      </c>
      <c r="W6" s="45">
        <v>1558238</v>
      </c>
      <c r="Y6" s="44" t="s">
        <v>26</v>
      </c>
      <c r="Z6" s="45">
        <v>934440</v>
      </c>
      <c r="AB6" s="65" t="str">
        <f t="shared" si="0"/>
        <v>Galaxy S21</v>
      </c>
      <c r="AC6" s="64">
        <f t="shared" si="1"/>
        <v>934440</v>
      </c>
      <c r="AD6"/>
      <c r="BC6" s="58"/>
      <c r="BD6" s="59"/>
      <c r="BE6" s="60"/>
      <c r="BF6" s="58"/>
      <c r="BG6" s="59"/>
      <c r="BH6" s="60"/>
      <c r="BI6" s="58"/>
      <c r="BJ6" s="59"/>
      <c r="BK6" s="60"/>
      <c r="BL6" s="58"/>
      <c r="BM6" s="59"/>
      <c r="BN6" s="60"/>
    </row>
    <row r="7" spans="1:66">
      <c r="A7" s="44" t="s">
        <v>11</v>
      </c>
      <c r="B7" s="45">
        <v>66</v>
      </c>
      <c r="C7" s="46">
        <v>1268650</v>
      </c>
      <c r="H7" s="44" t="s">
        <v>23</v>
      </c>
      <c r="I7" s="45">
        <v>20</v>
      </c>
      <c r="J7" s="45"/>
      <c r="K7" s="45"/>
      <c r="L7" s="45"/>
      <c r="M7" s="45"/>
      <c r="N7" s="45"/>
      <c r="O7" s="45">
        <v>70</v>
      </c>
      <c r="P7" s="45"/>
      <c r="Q7" s="45"/>
      <c r="R7" s="45"/>
      <c r="S7" s="45">
        <v>40</v>
      </c>
      <c r="T7" s="45"/>
      <c r="U7" s="45"/>
      <c r="V7" s="44" t="s">
        <v>31</v>
      </c>
      <c r="W7" s="45">
        <v>581800</v>
      </c>
      <c r="Y7" s="44" t="s">
        <v>22</v>
      </c>
      <c r="Z7" s="45">
        <v>685900</v>
      </c>
      <c r="AC7"/>
      <c r="AD7"/>
      <c r="BC7" s="58"/>
      <c r="BD7" s="59"/>
      <c r="BE7" s="60"/>
      <c r="BF7" s="58"/>
      <c r="BG7" s="59"/>
      <c r="BH7" s="60"/>
      <c r="BI7" s="58"/>
      <c r="BJ7" s="59"/>
      <c r="BK7" s="60"/>
      <c r="BL7" s="58"/>
      <c r="BM7" s="59"/>
      <c r="BN7" s="60"/>
    </row>
    <row r="8" spans="1:66">
      <c r="A8" s="44" t="s">
        <v>29</v>
      </c>
      <c r="B8" s="45">
        <v>126</v>
      </c>
      <c r="C8" s="46">
        <v>2131308</v>
      </c>
      <c r="H8" s="44" t="s">
        <v>75</v>
      </c>
      <c r="I8" s="45"/>
      <c r="J8" s="45"/>
      <c r="K8" s="45"/>
      <c r="L8" s="45"/>
      <c r="M8" s="45"/>
      <c r="N8" s="45"/>
      <c r="O8" s="45"/>
      <c r="P8" s="45"/>
      <c r="Q8" s="45">
        <v>20</v>
      </c>
      <c r="R8" s="45"/>
      <c r="S8" s="45">
        <v>25</v>
      </c>
      <c r="T8" s="45"/>
      <c r="U8" s="45"/>
      <c r="V8" s="44" t="s">
        <v>72</v>
      </c>
      <c r="W8" s="45">
        <v>680000</v>
      </c>
      <c r="Y8" s="44" t="s">
        <v>82</v>
      </c>
      <c r="Z8" s="45">
        <v>680000</v>
      </c>
      <c r="AC8"/>
      <c r="AD8"/>
      <c r="BC8" s="58"/>
      <c r="BD8" s="59"/>
      <c r="BE8" s="60"/>
      <c r="BF8" s="58"/>
      <c r="BG8" s="59"/>
      <c r="BH8" s="60"/>
      <c r="BI8" s="58"/>
      <c r="BJ8" s="59"/>
      <c r="BK8" s="60"/>
      <c r="BL8" s="58"/>
      <c r="BM8" s="59"/>
      <c r="BN8" s="60"/>
    </row>
    <row r="9" spans="1:66">
      <c r="A9" s="44" t="s">
        <v>12</v>
      </c>
      <c r="B9" s="45">
        <v>120</v>
      </c>
      <c r="C9" s="46">
        <v>2276000</v>
      </c>
      <c r="H9" s="44" t="s">
        <v>30</v>
      </c>
      <c r="I9" s="45"/>
      <c r="J9" s="45"/>
      <c r="K9" s="45">
        <v>13</v>
      </c>
      <c r="L9" s="45"/>
      <c r="M9" s="45"/>
      <c r="N9" s="45"/>
      <c r="O9" s="45"/>
      <c r="P9" s="45"/>
      <c r="Q9" s="45"/>
      <c r="R9" s="45"/>
      <c r="S9" s="45"/>
      <c r="T9" s="45"/>
      <c r="U9" s="45"/>
      <c r="V9" s="44" t="s">
        <v>61</v>
      </c>
      <c r="W9" s="45">
        <v>8410338</v>
      </c>
      <c r="Y9" s="44" t="s">
        <v>32</v>
      </c>
      <c r="Z9" s="45">
        <v>581800</v>
      </c>
      <c r="AC9"/>
      <c r="AD9"/>
      <c r="BC9" s="58"/>
      <c r="BD9" s="59"/>
      <c r="BE9" s="60"/>
      <c r="BF9" s="58"/>
      <c r="BG9" s="59"/>
      <c r="BH9" s="60"/>
      <c r="BI9" s="58"/>
      <c r="BJ9" s="59"/>
      <c r="BK9" s="60"/>
      <c r="BL9" s="58"/>
      <c r="BM9" s="59"/>
      <c r="BN9" s="60"/>
    </row>
    <row r="10" spans="1:66">
      <c r="A10" s="44" t="s">
        <v>61</v>
      </c>
      <c r="B10" s="45">
        <v>501</v>
      </c>
      <c r="C10" s="46">
        <v>8410338</v>
      </c>
      <c r="H10" s="44" t="s">
        <v>35</v>
      </c>
      <c r="I10" s="45"/>
      <c r="J10" s="45">
        <v>16</v>
      </c>
      <c r="K10" s="45"/>
      <c r="L10" s="45"/>
      <c r="M10" s="45"/>
      <c r="N10" s="45"/>
      <c r="O10" s="45"/>
      <c r="P10" s="45">
        <v>21</v>
      </c>
      <c r="Q10" s="45"/>
      <c r="R10" s="45"/>
      <c r="S10" s="45"/>
      <c r="T10" s="45"/>
      <c r="U10" s="45"/>
      <c r="Y10" s="44" t="s">
        <v>21</v>
      </c>
      <c r="Z10" s="45">
        <v>565250</v>
      </c>
      <c r="AC10"/>
      <c r="AD10"/>
      <c r="BC10" s="58"/>
      <c r="BD10" s="59"/>
      <c r="BE10" s="60"/>
      <c r="BF10" s="58"/>
      <c r="BG10" s="59"/>
      <c r="BH10" s="60"/>
      <c r="BI10" s="58"/>
      <c r="BJ10" s="59"/>
      <c r="BK10" s="60"/>
      <c r="BL10" s="58"/>
      <c r="BM10" s="59"/>
      <c r="BN10" s="60"/>
    </row>
    <row r="11" spans="1:66">
      <c r="H11" s="44" t="s">
        <v>41</v>
      </c>
      <c r="I11" s="45"/>
      <c r="J11" s="45">
        <v>23</v>
      </c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>
        <v>50</v>
      </c>
      <c r="Y11" s="44" t="s">
        <v>6</v>
      </c>
      <c r="Z11" s="45">
        <v>538650</v>
      </c>
      <c r="AC11"/>
      <c r="AD11"/>
      <c r="BC11" s="58"/>
      <c r="BD11" s="59"/>
      <c r="BE11" s="60"/>
      <c r="BF11" s="58"/>
      <c r="BG11" s="59"/>
      <c r="BH11" s="60"/>
      <c r="BI11" s="58"/>
      <c r="BJ11" s="59"/>
      <c r="BK11" s="60"/>
      <c r="BL11" s="58"/>
      <c r="BM11" s="59"/>
      <c r="BN11" s="60"/>
    </row>
    <row r="12" spans="1:66">
      <c r="H12" s="44" t="s">
        <v>36</v>
      </c>
      <c r="I12" s="45"/>
      <c r="J12" s="45"/>
      <c r="K12" s="45"/>
      <c r="L12" s="45"/>
      <c r="M12" s="45">
        <v>10</v>
      </c>
      <c r="N12" s="45"/>
      <c r="O12" s="45"/>
      <c r="P12" s="45"/>
      <c r="Q12" s="45"/>
      <c r="R12" s="45"/>
      <c r="S12" s="45"/>
      <c r="T12" s="45">
        <v>50</v>
      </c>
      <c r="U12" s="45"/>
      <c r="Y12" s="44" t="s">
        <v>80</v>
      </c>
      <c r="Z12" s="45">
        <v>515000</v>
      </c>
      <c r="AC12"/>
      <c r="AD12"/>
      <c r="BC12" s="58"/>
      <c r="BD12" s="59"/>
      <c r="BE12" s="60"/>
      <c r="BF12" s="58"/>
      <c r="BG12" s="59"/>
      <c r="BH12" s="60"/>
      <c r="BI12" s="58"/>
      <c r="BJ12" s="59"/>
      <c r="BK12" s="60"/>
      <c r="BL12" s="58"/>
      <c r="BM12" s="59"/>
      <c r="BN12" s="60"/>
    </row>
    <row r="13" spans="1:66">
      <c r="H13" s="44" t="s">
        <v>79</v>
      </c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>
        <v>15</v>
      </c>
      <c r="T13" s="45"/>
      <c r="U13" s="45"/>
      <c r="Y13" s="44" t="s">
        <v>53</v>
      </c>
      <c r="Z13" s="45">
        <v>380000</v>
      </c>
      <c r="AC13"/>
      <c r="AD13"/>
      <c r="BC13" s="58"/>
      <c r="BD13" s="59"/>
      <c r="BE13" s="60"/>
      <c r="BF13" s="58"/>
      <c r="BG13" s="59"/>
      <c r="BH13" s="60"/>
      <c r="BI13" s="58"/>
      <c r="BJ13" s="59"/>
      <c r="BK13" s="60"/>
      <c r="BL13" s="58"/>
      <c r="BM13" s="59"/>
      <c r="BN13" s="60"/>
    </row>
    <row r="14" spans="1:66">
      <c r="H14" s="44" t="s">
        <v>61</v>
      </c>
      <c r="I14" s="45">
        <v>20</v>
      </c>
      <c r="J14" s="45">
        <v>52</v>
      </c>
      <c r="K14" s="45">
        <v>13</v>
      </c>
      <c r="L14" s="45">
        <v>35</v>
      </c>
      <c r="M14" s="45">
        <v>10</v>
      </c>
      <c r="N14" s="45">
        <v>38</v>
      </c>
      <c r="O14" s="45">
        <v>70</v>
      </c>
      <c r="P14" s="45">
        <v>21</v>
      </c>
      <c r="Q14" s="45">
        <v>20</v>
      </c>
      <c r="R14" s="45">
        <v>40</v>
      </c>
      <c r="S14" s="45">
        <v>82</v>
      </c>
      <c r="T14" s="45">
        <v>50</v>
      </c>
      <c r="U14" s="45">
        <v>50</v>
      </c>
      <c r="Y14" s="44" t="s">
        <v>25</v>
      </c>
      <c r="Z14" s="45">
        <v>319000</v>
      </c>
      <c r="BC14" s="58"/>
      <c r="BD14" s="59"/>
      <c r="BE14" s="60"/>
      <c r="BF14" s="58"/>
      <c r="BG14" s="59"/>
      <c r="BH14" s="60"/>
      <c r="BI14" s="58"/>
      <c r="BJ14" s="59"/>
      <c r="BK14" s="60"/>
      <c r="BL14" s="58"/>
      <c r="BM14" s="59"/>
      <c r="BN14" s="60"/>
    </row>
    <row r="15" spans="1:66">
      <c r="Y15" s="44" t="s">
        <v>27</v>
      </c>
      <c r="Z15" s="45">
        <v>304798</v>
      </c>
      <c r="BC15" s="58"/>
      <c r="BD15" s="59"/>
      <c r="BE15" s="60"/>
      <c r="BF15" s="58"/>
      <c r="BG15" s="59"/>
      <c r="BH15" s="60"/>
      <c r="BI15" s="58"/>
      <c r="BJ15" s="59"/>
      <c r="BK15" s="60"/>
      <c r="BL15" s="58"/>
      <c r="BM15" s="59"/>
      <c r="BN15" s="60"/>
    </row>
    <row r="16" spans="1:66">
      <c r="Y16" s="44" t="s">
        <v>4</v>
      </c>
      <c r="Z16" s="45">
        <v>161500</v>
      </c>
      <c r="BC16" s="58"/>
      <c r="BD16" s="59"/>
      <c r="BE16" s="60"/>
      <c r="BF16" s="58"/>
      <c r="BG16" s="59"/>
      <c r="BH16" s="60"/>
      <c r="BI16" s="58"/>
      <c r="BJ16" s="59"/>
      <c r="BK16" s="60"/>
      <c r="BL16" s="58"/>
      <c r="BM16" s="59"/>
      <c r="BN16" s="60"/>
    </row>
    <row r="17" spans="25:66">
      <c r="Y17" s="44" t="s">
        <v>61</v>
      </c>
      <c r="Z17" s="45">
        <v>8410338</v>
      </c>
      <c r="BC17" s="58"/>
      <c r="BD17" s="59"/>
      <c r="BE17" s="60"/>
      <c r="BF17" s="58"/>
      <c r="BG17" s="59"/>
      <c r="BH17" s="60"/>
      <c r="BI17" s="58"/>
      <c r="BJ17" s="59"/>
      <c r="BK17" s="60"/>
      <c r="BL17" s="58"/>
      <c r="BM17" s="59"/>
      <c r="BN17" s="60"/>
    </row>
    <row r="18" spans="25:66">
      <c r="BC18" s="58"/>
      <c r="BD18" s="59"/>
      <c r="BE18" s="60"/>
      <c r="BF18" s="58"/>
      <c r="BG18" s="59"/>
      <c r="BH18" s="60"/>
      <c r="BI18" s="58"/>
      <c r="BJ18" s="59"/>
      <c r="BK18" s="60"/>
      <c r="BL18" s="58"/>
      <c r="BM18" s="59"/>
      <c r="BN18" s="60"/>
    </row>
    <row r="19" spans="25:66">
      <c r="BC19" s="58"/>
      <c r="BD19" s="59"/>
      <c r="BE19" s="60"/>
      <c r="BF19" s="58"/>
      <c r="BG19" s="59"/>
      <c r="BH19" s="60"/>
      <c r="BI19" s="58"/>
      <c r="BJ19" s="59"/>
      <c r="BK19" s="60"/>
      <c r="BL19" s="58"/>
      <c r="BM19" s="59"/>
      <c r="BN19" s="60"/>
    </row>
    <row r="20" spans="25:66">
      <c r="BC20" s="58"/>
      <c r="BD20" s="59"/>
      <c r="BE20" s="60"/>
      <c r="BF20" s="58"/>
      <c r="BG20" s="59"/>
      <c r="BH20" s="60"/>
      <c r="BI20" s="58"/>
      <c r="BJ20" s="59"/>
      <c r="BK20" s="60"/>
      <c r="BL20" s="58"/>
      <c r="BM20" s="59"/>
      <c r="BN20" s="60"/>
    </row>
    <row r="21" spans="25:66">
      <c r="BC21" s="61"/>
      <c r="BD21" s="62"/>
      <c r="BE21" s="63"/>
      <c r="BF21" s="61"/>
      <c r="BG21" s="62"/>
      <c r="BH21" s="63"/>
      <c r="BI21" s="61"/>
      <c r="BJ21" s="62"/>
      <c r="BK21" s="63"/>
      <c r="BL21" s="61"/>
      <c r="BM21" s="62"/>
      <c r="BN21" s="63"/>
    </row>
    <row r="39" spans="1:4">
      <c r="D39" t="s">
        <v>71</v>
      </c>
    </row>
    <row r="40" spans="1:4" ht="15.6">
      <c r="A40" s="31" t="s">
        <v>57</v>
      </c>
      <c r="B40" s="31" t="s">
        <v>58</v>
      </c>
      <c r="D40" s="25" t="s">
        <v>3</v>
      </c>
    </row>
    <row r="41" spans="1:4" ht="15.6">
      <c r="A41" s="31">
        <f>SUMIFS(Tablo4[Girilen Adet],Tablo4[Model],Ürünler!K6)</f>
        <v>210</v>
      </c>
      <c r="B41" s="31">
        <f>SUMIFS(Tablo2[Adet],Tablo2[Model],Ürünler!K6)</f>
        <v>45</v>
      </c>
      <c r="D41" s="25" t="s">
        <v>24</v>
      </c>
    </row>
    <row r="42" spans="1:4" ht="15.6">
      <c r="A42" s="31">
        <f>SUMIFS(Tablo4[Girilen Adet],Tablo4[Model],Ürünler!K7)</f>
        <v>150</v>
      </c>
      <c r="B42" s="31">
        <f>SUMIFS(Tablo2[Adet],Tablo2[Model],Ürünler!K7)</f>
        <v>38</v>
      </c>
      <c r="D42" s="25" t="s">
        <v>31</v>
      </c>
    </row>
    <row r="43" spans="1:4" ht="15.6">
      <c r="A43" s="31">
        <f>SUMIFS(Tablo4[Girilen Adet],Tablo4[Model],Ürünler!K8)</f>
        <v>80</v>
      </c>
      <c r="B43" s="31">
        <f>SUMIFS(Tablo2[Adet],Tablo2[Model],Ürünler!K8)</f>
        <v>0</v>
      </c>
      <c r="D43" s="25" t="s">
        <v>47</v>
      </c>
    </row>
    <row r="44" spans="1:4" ht="15.6">
      <c r="A44" s="31">
        <f>SUMIFS(Tablo4[Girilen Adet],Tablo4[Model],Ürünler!K9)</f>
        <v>160</v>
      </c>
      <c r="B44" s="31">
        <f>SUMIFS(Tablo2[Adet],Tablo2[Model],Ürünler!K9)</f>
        <v>31</v>
      </c>
      <c r="D44" s="54" t="s">
        <v>72</v>
      </c>
    </row>
    <row r="45" spans="1:4">
      <c r="A45" s="31">
        <f>SUMIFS(Tablo4[Girilen Adet],Tablo4[Model],Ürünler!K10)</f>
        <v>130</v>
      </c>
      <c r="B45" s="31">
        <f>SUMIFS(Tablo2[Adet],Tablo2[Model],Ürünler!K10)</f>
        <v>52</v>
      </c>
    </row>
    <row r="46" spans="1:4">
      <c r="A46" s="31">
        <f>SUMIFS(Tablo4[Girilen Adet],Tablo4[Model],Ürünler!K11)</f>
        <v>115</v>
      </c>
      <c r="B46" s="31">
        <f>SUMIFS(Tablo2[Adet],Tablo2[Model],Ürünler!K11)</f>
        <v>20</v>
      </c>
    </row>
    <row r="47" spans="1:4">
      <c r="A47" s="31">
        <f>SUMIFS(Tablo4[Girilen Adet],Tablo4[Model],Ürünler!K12)</f>
        <v>115</v>
      </c>
      <c r="B47" s="31">
        <f>SUMIFS(Tablo2[Adet],Tablo2[Model],Ürünler!K12)</f>
        <v>13</v>
      </c>
    </row>
    <row r="48" spans="1:4">
      <c r="A48" s="31">
        <f>SUMIFS(Tablo4[Girilen Adet],Tablo4[Model],Ürünler!K13)</f>
        <v>130</v>
      </c>
      <c r="B48" s="31">
        <f>SUMIFS(Tablo2[Adet],Tablo2[Model],Ürünler!K13)</f>
        <v>40</v>
      </c>
    </row>
    <row r="49" spans="1:2">
      <c r="A49" s="31">
        <f>SUMIFS(Tablo4[Girilen Adet],Tablo4[Model],Ürünler!K14)</f>
        <v>120</v>
      </c>
      <c r="B49" s="31">
        <f>SUMIFS(Tablo2[Adet],Tablo2[Model],Ürünler!K14)</f>
        <v>0</v>
      </c>
    </row>
    <row r="50" spans="1:2">
      <c r="A50" s="31">
        <f>SUMIFS(Tablo4[Girilen Adet],Tablo4[Model],Ürünler!K15)</f>
        <v>95</v>
      </c>
      <c r="B50" s="31">
        <f>SUMIFS(Tablo2[Adet],Tablo2[Model],Ürünler!K15)</f>
        <v>0</v>
      </c>
    </row>
    <row r="51" spans="1:2">
      <c r="A51" s="31">
        <f>SUMIFS(Tablo4[Girilen Adet],Tablo4[Model],Ürünler!K16)</f>
        <v>160</v>
      </c>
      <c r="B51" s="31">
        <f>SUMIFS(Tablo2[Adet],Tablo2[Model],Ürünler!K16)</f>
        <v>82</v>
      </c>
    </row>
    <row r="52" spans="1:2">
      <c r="A52" s="31">
        <f>SUMIFS(Tablo4[Girilen Adet],Tablo4[Model],Ürünler!K17)</f>
        <v>121</v>
      </c>
      <c r="B52" s="31">
        <f>SUMIFS(Tablo2[Adet],Tablo2[Model],Ürünler!K17)</f>
        <v>20</v>
      </c>
    </row>
    <row r="53" spans="1:2">
      <c r="A53" s="31">
        <f>SUMIFS(Tablo4[Girilen Adet],Tablo4[Model],Ürünler!K18)</f>
        <v>120</v>
      </c>
      <c r="B53" s="31">
        <f>SUMIFS(Tablo2[Adet],Tablo2[Model],Ürünler!K18)</f>
        <v>0</v>
      </c>
    </row>
    <row r="54" spans="1:2">
      <c r="A54" s="31">
        <f>SUMIFS(Tablo4[Girilen Adet],Tablo4[Model],Ürünler!K19)</f>
        <v>160</v>
      </c>
      <c r="B54" s="31">
        <f>SUMIFS(Tablo2[Adet],Tablo2[Model],Ürünler!K19)</f>
        <v>70</v>
      </c>
    </row>
    <row r="55" spans="1:2">
      <c r="A55" s="31">
        <f>SUMIFS(Tablo4[Girilen Adet],Tablo4[Model],Ürünler!K20)</f>
        <v>150</v>
      </c>
      <c r="B55" s="31">
        <f>SUMIFS(Tablo2[Adet],Tablo2[Model],Ürünler!K20)</f>
        <v>50</v>
      </c>
    </row>
    <row r="56" spans="1:2">
      <c r="A56" s="31">
        <f>SUMIFS(Tablo4[Girilen Adet],Tablo4[Model],Ürünler!K21)</f>
        <v>250</v>
      </c>
      <c r="B56" s="31">
        <f>SUMIFS(Tablo2[Adet],Tablo2[Model],Ürünler!K21)</f>
        <v>50</v>
      </c>
    </row>
    <row r="57" spans="1:2">
      <c r="A57" s="31">
        <f>SUMIFS(Tablo4[Girilen Adet],Tablo4[Model],Ürünler!K22)</f>
        <v>0</v>
      </c>
      <c r="B57" s="31">
        <f>SUMIFS(Tablo2[Adet],Tablo2[Model],Ürünler!K22)</f>
        <v>0</v>
      </c>
    </row>
    <row r="58" spans="1:2">
      <c r="A58" s="31">
        <f>SUMIFS(Tablo4[Girilen Adet],Tablo4[Model],Ürünler!K23)</f>
        <v>0</v>
      </c>
      <c r="B58" s="31">
        <f>SUMIFS(Tablo2[Adet],Tablo2[Model],Ürünler!K23)</f>
        <v>0</v>
      </c>
    </row>
    <row r="59" spans="1:2">
      <c r="A59" s="31">
        <f>SUMIFS(Tablo4[Girilen Adet],Tablo4[Model],Ürünler!K24)</f>
        <v>0</v>
      </c>
      <c r="B59" s="31">
        <f>SUMIFS(Tablo2[Adet],Tablo2[Model],Ürünler!K24)</f>
        <v>0</v>
      </c>
    </row>
    <row r="60" spans="1:2">
      <c r="A60" s="31">
        <f>SUMIFS(Tablo4[Girilen Adet],Tablo4[Model],Ürünler!K25)</f>
        <v>0</v>
      </c>
      <c r="B60" s="31">
        <f>SUMIFS(Tablo2[Adet],Tablo2[Model],Ürünler!K25)</f>
        <v>0</v>
      </c>
    </row>
    <row r="61" spans="1:2">
      <c r="A61" s="31">
        <f>SUMIFS(Tablo4[Girilen Adet],Tablo4[Model],Ürünler!K26)</f>
        <v>0</v>
      </c>
      <c r="B61" s="31">
        <f>SUMIFS(Tablo2[Adet],Tablo2[Model],Ürünler!K26)</f>
        <v>0</v>
      </c>
    </row>
    <row r="62" spans="1:2">
      <c r="A62" s="31">
        <f>SUMIFS(Tablo4[Girilen Adet],Tablo4[Model],Ürünler!K27)</f>
        <v>0</v>
      </c>
      <c r="B62" s="31">
        <f>SUMIFS(Tablo2[Adet],Tablo2[Model],Ürünler!K27)</f>
        <v>0</v>
      </c>
    </row>
    <row r="63" spans="1:2">
      <c r="A63" s="31">
        <f>SUMIFS(Tablo4[Girilen Adet],Tablo4[Model],Ürünler!K28)</f>
        <v>0</v>
      </c>
      <c r="B63" s="31">
        <f>SUMIFS(Tablo2[Adet],Tablo2[Model],Ürünler!K28)</f>
        <v>0</v>
      </c>
    </row>
    <row r="64" spans="1:2">
      <c r="A64" s="31">
        <f>SUMIFS(Tablo4[Girilen Adet],Tablo4[Model],Ürünler!K29)</f>
        <v>0</v>
      </c>
      <c r="B64" s="31">
        <f>SUMIFS(Tablo2[Adet],Tablo2[Model],Ürünler!K29)</f>
        <v>0</v>
      </c>
    </row>
    <row r="65" spans="1:2">
      <c r="A65" s="31">
        <f>SUMIFS(Tablo4[Girilen Adet],Tablo4[Model],Ürünler!K30)</f>
        <v>0</v>
      </c>
      <c r="B65" s="31">
        <f>SUMIFS(Tablo2[Adet],Tablo2[Model],Ürünler!K30)</f>
        <v>0</v>
      </c>
    </row>
    <row r="66" spans="1:2">
      <c r="A66" s="31">
        <f>SUMIFS(Tablo4[Girilen Adet],Tablo4[Model],Ürünler!K31)</f>
        <v>0</v>
      </c>
      <c r="B66" s="31">
        <f>SUMIFS(Tablo2[Adet],Tablo2[Model],Ürünler!K31)</f>
        <v>0</v>
      </c>
    </row>
    <row r="67" spans="1:2">
      <c r="A67" s="31">
        <f>SUMIFS(Tablo4[Girilen Adet],Tablo4[Model],Ürünler!K32)</f>
        <v>0</v>
      </c>
      <c r="B67" s="31">
        <f>SUMIFS(Tablo2[Adet],Tablo2[Model],Ürünler!K32)</f>
        <v>0</v>
      </c>
    </row>
    <row r="68" spans="1:2">
      <c r="A68" s="31">
        <f>SUMIFS(Tablo4[Girilen Adet],Tablo4[Model],Ürünler!K33)</f>
        <v>0</v>
      </c>
      <c r="B68" s="31">
        <f>SUMIFS(Tablo2[Adet],Tablo2[Model],Ürünler!K33)</f>
        <v>0</v>
      </c>
    </row>
    <row r="69" spans="1:2">
      <c r="A69" s="31">
        <f>SUMIFS(Tablo4[Girilen Adet],Tablo4[Model],Ürünler!K34)</f>
        <v>0</v>
      </c>
      <c r="B69" s="31">
        <f>SUMIFS(Tablo2[Adet],Tablo2[Model],Ürünler!K34)</f>
        <v>0</v>
      </c>
    </row>
    <row r="70" spans="1:2">
      <c r="A70" s="31">
        <f>SUMIFS(Tablo4[Girilen Adet],Tablo4[Model],Ürünler!K35)</f>
        <v>0</v>
      </c>
      <c r="B70" s="31">
        <f>SUMIFS(Tablo2[Adet],Tablo2[Model],Ürünler!K35)</f>
        <v>0</v>
      </c>
    </row>
    <row r="71" spans="1:2">
      <c r="A71" s="31">
        <f>SUMIFS(Tablo4[Girilen Adet],Tablo4[Model],Ürünler!K36)</f>
        <v>0</v>
      </c>
      <c r="B71" s="31">
        <f>SUMIFS(Tablo2[Adet],Tablo2[Model],Ürünler!K36)</f>
        <v>0</v>
      </c>
    </row>
    <row r="72" spans="1:2">
      <c r="A72" s="31">
        <f>SUMIFS(Tablo4[Girilen Adet],Tablo4[Model],Ürünler!K37)</f>
        <v>0</v>
      </c>
      <c r="B72" s="31">
        <f>SUMIFS(Tablo2[Adet],Tablo2[Model],Ürünler!K37)</f>
        <v>0</v>
      </c>
    </row>
    <row r="73" spans="1:2">
      <c r="A73" s="31">
        <f>SUMIFS(Tablo4[Girilen Adet],Tablo4[Model],Ürünler!K38)</f>
        <v>0</v>
      </c>
      <c r="B73" s="31">
        <f>SUMIFS(Tablo2[Adet],Tablo2[Model],Ürünler!K38)</f>
        <v>0</v>
      </c>
    </row>
    <row r="74" spans="1:2">
      <c r="A74" s="31">
        <f>SUMIFS(Tablo4[Girilen Adet],Tablo4[Model],Ürünler!K39)</f>
        <v>0</v>
      </c>
      <c r="B74" s="31">
        <f>SUMIFS(Tablo2[Adet],Tablo2[Model],Ürünler!K39)</f>
        <v>0</v>
      </c>
    </row>
    <row r="75" spans="1:2">
      <c r="A75" s="31">
        <f>SUMIFS(Tablo4[Girilen Adet],Tablo4[Model],Ürünler!K40)</f>
        <v>0</v>
      </c>
      <c r="B75" s="31">
        <f>SUMIFS(Tablo2[Adet],Tablo2[Model],Ürünler!K40)</f>
        <v>0</v>
      </c>
    </row>
    <row r="76" spans="1:2">
      <c r="A76" s="31">
        <f>SUMIFS(Tablo4[Girilen Adet],Tablo4[Model],Ürünler!K41)</f>
        <v>0</v>
      </c>
      <c r="B76" s="31">
        <f>SUMIFS(Tablo2[Adet],Tablo2[Model],Ürünler!K41)</f>
        <v>0</v>
      </c>
    </row>
    <row r="77" spans="1:2">
      <c r="A77" s="31">
        <f>SUMIFS(Tablo4[Girilen Adet],Tablo4[Model],Ürünler!K42)</f>
        <v>0</v>
      </c>
      <c r="B77" s="31">
        <f>SUMIFS(Tablo2[Adet],Tablo2[Model],Ürünler!K42)</f>
        <v>0</v>
      </c>
    </row>
  </sheetData>
  <conditionalFormatting sqref="AC4:AC6">
    <cfRule type="dataBar" priority="1">
      <dataBar>
        <cfvo type="min"/>
        <cfvo type="max"/>
        <color rgb="FFA4BE7B"/>
      </dataBar>
      <extLst>
        <ext xmlns:x14="http://schemas.microsoft.com/office/spreadsheetml/2009/9/main" uri="{B025F937-C7B1-47D3-B67F-A62EFF666E3E}">
          <x14:id>{0EF1D868-3B65-4987-93BE-169B51F8FEA1}</x14:id>
        </ext>
      </extLst>
    </cfRule>
    <cfRule type="dataBar" priority="2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{BC86F8FF-8B32-49B0-93C5-6E4E84DE7E0E}</x14:id>
        </ext>
      </extLst>
    </cfRule>
  </conditionalFormatting>
  <pageMargins left="0.7" right="0.7" top="0.75" bottom="0.75" header="0.3" footer="0.3"/>
  <pageSetup paperSize="9" orientation="portrait" r:id="rId9"/>
  <drawing r:id="rId10"/>
  <tableParts count="1"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EF1D868-3B65-4987-93BE-169B51F8FE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C86F8FF-8B32-49B0-93C5-6E4E84DE7E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AC4:AC6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1</vt:i4>
      </vt:variant>
    </vt:vector>
  </HeadingPairs>
  <TitlesOfParts>
    <vt:vector size="6" baseType="lpstr">
      <vt:lpstr>Genel_Durum</vt:lpstr>
      <vt:lpstr>Ürünler</vt:lpstr>
      <vt:lpstr>Satışlar</vt:lpstr>
      <vt:lpstr>Personeller</vt:lpstr>
      <vt:lpstr>Tablolar</vt:lpstr>
      <vt:lpstr>urunler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2024-11-28T19:54:47Z</dcterms:modified>
</cp:coreProperties>
</file>